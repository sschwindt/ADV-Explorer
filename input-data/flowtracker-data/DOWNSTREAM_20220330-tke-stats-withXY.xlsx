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ke sta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<sst xmlns="http://schemas.openxmlformats.org/spreadsheetml/2006/main" count="41" uniqueCount="41">
  <si>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# ()</t>
  </si>
  <si>
    <t xml:space="preserve">GK Zone 4 - Easting</t>
  </si>
  <si>
    <t xml:space="preserve">GK Zone 4 - Northing</t>
  </si>
  <si>
    <t xml:space="preserve">Elevation (ellipsoidal, WGS84)</t>
  </si>
  <si>
    <t xml:space="preserve">%Dep ()</t>
  </si>
  <si>
    <t xml:space="preserve">MeasD (m)</t>
  </si>
  <si>
    <t xml:space="preserve">Npts ()</t>
  </si>
  <si>
    <t xml:space="preserve">Spike ()</t>
  </si>
  <si>
    <t xml:space="preserve">Loc (m)</t>
  </si>
  <si>
    <t xml:space="preserve">LocY (m)</t>
  </si>
  <si>
    <t xml:space="preserve">Depth1 (m)</t>
  </si>
  <si>
    <t xml:space="preserve">VelX (m/s)</t>
  </si>
  <si>
    <t xml:space="preserve">VelY (m/s)</t>
  </si>
  <si>
    <t xml:space="preserve">VelZ (m/s)</t>
  </si>
  <si>
    <t xml:space="preserve">Angle (deg)</t>
  </si>
  <si>
    <t xml:space="preserve">VxErr (m/s)</t>
  </si>
  <si>
    <t xml:space="preserve">VyErr (m/s)</t>
  </si>
  <si>
    <t xml:space="preserve">VzErr (m/s)</t>
  </si>
  <si>
    <t xml:space="preserve">SNR1 (dB)</t>
  </si>
  <si>
    <t xml:space="preserve">SNR2 (dB)</t>
  </si>
  <si>
    <t xml:space="preserve">SNR3 (dB)</t>
  </si>
  <si>
    <t xml:space="preserve">SNRStd1 (dB)</t>
  </si>
  <si>
    <t xml:space="preserve">SNRStd2 (dB)</t>
  </si>
  <si>
    <t xml:space="preserve">SNRStd3 (dB)</t>
  </si>
  <si>
    <t xml:space="preserve">Temp (°C)</t>
  </si>
  <si>
    <t xml:space="preserve">Tilt (deg)</t>
  </si>
  <si>
    <t xml:space="preserve">u average (m/s)</t>
  </si>
  <si>
    <t xml:space="preserve">u std (m/s)</t>
  </si>
  <si>
    <t xml:space="preserve">u stderr (m/s)</t>
  </si>
  <si>
    <t xml:space="preserve">v average (m/s)</t>
  </si>
  <si>
    <t xml:space="preserve">v std (m/s)</t>
  </si>
  <si>
    <t xml:space="preserve">v stderr (m/s)</t>
  </si>
  <si>
    <t xml:space="preserve">w average (m/s)</t>
  </si>
  <si>
    <t xml:space="preserve">w std (m/s)</t>
  </si>
  <si>
    <t xml:space="preserve">w stderr (m/s)</t>
  </si>
  <si>
    <t xml:space="preserve">TKE norm. (-)</t>
  </si>
  <si>
    <t xml:space="preserve">TKE 2d norm. (-)</t>
  </si>
  <si>
    <t xml:space="preserve">u norm. (-)</t>
  </si>
  <si>
    <t xml:space="preserve">MAX depth</t>
  </si>
  <si>
    <t xml:space="preserve">AVRG</t>
  </si>
  <si>
    <t xml:space="preserve">FlowTracker2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</si>
</sst>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80008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80008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37" activeCellId="0" sqref="R37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customFormat="false" ht="13.8" hidden="false" customHeight="false" outlineLevel="0" collapsed="false">
      <c r="A2" s="2" t="n">
        <v>0</v>
      </c>
      <c r="B2" s="3" t="n">
        <v>0</v>
      </c>
      <c r="C2" s="0" t="n">
        <v>4585785.163</v>
      </c>
      <c r="D2" s="0" t="n">
        <v>5350947.815</v>
      </c>
      <c r="E2" s="0" t="n">
        <v>373.481</v>
      </c>
      <c r="F2" s="3" t="n">
        <v>0.499</v>
      </c>
      <c r="G2" s="3" t="n">
        <v>0.174</v>
      </c>
      <c r="H2" s="3" t="n">
        <v>80</v>
      </c>
      <c r="I2" s="3" t="n">
        <v>1</v>
      </c>
      <c r="J2" s="3" t="n">
        <v>-1</v>
      </c>
      <c r="K2" s="3" t="n">
        <v>0.5</v>
      </c>
      <c r="L2" s="3" t="n">
        <v>0.349</v>
      </c>
      <c r="M2" s="3" t="n">
        <v>-1.062</v>
      </c>
      <c r="N2" s="3" t="n">
        <v>0.105</v>
      </c>
      <c r="O2" s="3" t="n">
        <v>-0.465</v>
      </c>
      <c r="P2" s="3" t="n">
        <v>174.363</v>
      </c>
      <c r="Q2" s="3" t="n">
        <v>0.02</v>
      </c>
      <c r="R2" s="3" t="n">
        <v>0.007</v>
      </c>
      <c r="S2" s="3" t="n">
        <v>0.031</v>
      </c>
      <c r="T2" s="3" t="n">
        <v>43.358</v>
      </c>
      <c r="U2" s="3" t="n">
        <v>42.887</v>
      </c>
      <c r="V2" s="3" t="n">
        <v>44.414</v>
      </c>
      <c r="W2" s="3" t="n">
        <v>0.955</v>
      </c>
      <c r="X2" s="3" t="n">
        <v>0.84</v>
      </c>
      <c r="Y2" s="3" t="n">
        <v>0.912</v>
      </c>
      <c r="Z2" s="3" t="n">
        <v>10.173</v>
      </c>
      <c r="AA2" s="3" t="n">
        <v>1.954</v>
      </c>
      <c r="AB2" s="0" t="n">
        <v>1.0662875</v>
      </c>
      <c r="AC2" s="0" t="n">
        <v>0.0198924231316065</v>
      </c>
      <c r="AD2" s="0" t="n">
        <v>0.179045796683772</v>
      </c>
      <c r="AE2" s="0" t="n">
        <v>0.106875</v>
      </c>
      <c r="AF2" s="0" t="n">
        <v>0.00747916637650882</v>
      </c>
      <c r="AG2" s="0" t="n">
        <v>0.0673177567937824</v>
      </c>
      <c r="AH2" s="0" t="n">
        <v>-0.4499875</v>
      </c>
      <c r="AI2" s="0" t="n">
        <v>0.0335513435542733</v>
      </c>
      <c r="AJ2" s="0" t="n">
        <v>0.301985685541802</v>
      </c>
      <c r="AK2" s="0" t="n">
        <v>0.0638922159810127</v>
      </c>
      <c r="AL2" s="0" t="n">
        <v>0.0182945388449367</v>
      </c>
      <c r="AM2" s="0" t="n">
        <v>0.89906197301855</v>
      </c>
    </row>
    <row r="3" customFormat="false" ht="13.8" hidden="false" customHeight="false" outlineLevel="0" collapsed="false">
      <c r="A3" s="2" t="n">
        <v>1</v>
      </c>
      <c r="B3" s="3" t="n">
        <v>1</v>
      </c>
      <c r="C3" s="0" t="n">
        <v>4585786.075</v>
      </c>
      <c r="D3" s="0" t="n">
        <v>5350943.254</v>
      </c>
      <c r="E3" s="0" t="n">
        <v>373.516</v>
      </c>
      <c r="F3" s="3" t="n">
        <v>0.513</v>
      </c>
      <c r="G3" s="3" t="n">
        <v>0.184</v>
      </c>
      <c r="H3" s="3" t="n">
        <v>80</v>
      </c>
      <c r="I3" s="3" t="n">
        <v>1</v>
      </c>
      <c r="J3" s="3" t="n">
        <v>-2</v>
      </c>
      <c r="K3" s="3" t="n">
        <v>0.5</v>
      </c>
      <c r="L3" s="3" t="n">
        <v>0.359</v>
      </c>
      <c r="M3" s="3" t="n">
        <v>-1.208</v>
      </c>
      <c r="N3" s="3" t="n">
        <v>-0.47</v>
      </c>
      <c r="O3" s="3" t="n">
        <v>1.728</v>
      </c>
      <c r="P3" s="3" t="n">
        <v>-158.745</v>
      </c>
      <c r="Q3" s="3" t="n">
        <v>0.011</v>
      </c>
      <c r="R3" s="3" t="n">
        <v>0.005</v>
      </c>
      <c r="S3" s="3" t="n">
        <v>0.019</v>
      </c>
      <c r="T3" s="3" t="n">
        <v>43.085</v>
      </c>
      <c r="U3" s="3" t="n">
        <v>42.978</v>
      </c>
      <c r="V3" s="3" t="n">
        <v>43.554</v>
      </c>
      <c r="W3" s="3" t="n">
        <v>0.761</v>
      </c>
      <c r="X3" s="3" t="n">
        <v>0.944</v>
      </c>
      <c r="Y3" s="3" t="n">
        <v>1.269</v>
      </c>
      <c r="Z3" s="3" t="n">
        <v>10.259</v>
      </c>
      <c r="AA3" s="3" t="n">
        <v>1.401</v>
      </c>
      <c r="AB3" s="0" t="n">
        <v>1.21275</v>
      </c>
      <c r="AC3" s="0" t="n">
        <v>0.0117145409107656</v>
      </c>
      <c r="AD3" s="0" t="n">
        <v>0.105439105948842</v>
      </c>
      <c r="AE3" s="0" t="n">
        <v>-0.4697</v>
      </c>
      <c r="AF3" s="0" t="n">
        <v>0.00497705359625552</v>
      </c>
      <c r="AG3" s="0" t="n">
        <v>0.0447969822672595</v>
      </c>
      <c r="AH3" s="0" t="n">
        <v>1.7305875</v>
      </c>
      <c r="AI3" s="0" t="n">
        <v>0.0189849586330041</v>
      </c>
      <c r="AJ3" s="0" t="n">
        <v>0.170877978060591</v>
      </c>
      <c r="AK3" s="0" t="n">
        <v>0.0211617290348101</v>
      </c>
      <c r="AL3" s="0" t="n">
        <v>0.00656208734177215</v>
      </c>
      <c r="AM3" s="0" t="n">
        <v>1.02255480607083</v>
      </c>
    </row>
    <row r="4" customFormat="false" ht="13.8" hidden="false" customHeight="false" outlineLevel="0" collapsed="false">
      <c r="A4" s="2" t="n">
        <v>2</v>
      </c>
      <c r="B4" s="3" t="n">
        <v>2</v>
      </c>
      <c r="C4" s="0" t="n">
        <v>4585788.723</v>
      </c>
      <c r="D4" s="0" t="n">
        <v>5350943.656</v>
      </c>
      <c r="E4" s="0" t="n">
        <v>373.388</v>
      </c>
      <c r="F4" s="3" t="n">
        <v>0.498</v>
      </c>
      <c r="G4" s="3" t="n">
        <v>0.227</v>
      </c>
      <c r="H4" s="3" t="n">
        <v>80</v>
      </c>
      <c r="I4" s="3" t="n">
        <v>0</v>
      </c>
      <c r="J4" s="3" t="n">
        <v>-2</v>
      </c>
      <c r="K4" s="3" t="n">
        <v>1</v>
      </c>
      <c r="L4" s="3" t="n">
        <v>0.456</v>
      </c>
      <c r="M4" s="3" t="n">
        <v>-1.049</v>
      </c>
      <c r="N4" s="3" t="n">
        <v>-0.48</v>
      </c>
      <c r="O4" s="3" t="n">
        <v>1.768</v>
      </c>
      <c r="P4" s="3" t="n">
        <v>-155.409</v>
      </c>
      <c r="Q4" s="3" t="n">
        <v>0.023</v>
      </c>
      <c r="R4" s="3" t="n">
        <v>0.008</v>
      </c>
      <c r="S4" s="3" t="n">
        <v>0.033</v>
      </c>
      <c r="T4" s="3" t="n">
        <v>42.892</v>
      </c>
      <c r="U4" s="3" t="n">
        <v>43.201</v>
      </c>
      <c r="V4" s="3" t="n">
        <v>45.099</v>
      </c>
      <c r="W4" s="3" t="n">
        <v>0.897</v>
      </c>
      <c r="X4" s="3" t="n">
        <v>0.866</v>
      </c>
      <c r="Y4" s="3" t="n">
        <v>0.945</v>
      </c>
      <c r="Z4" s="3" t="n">
        <v>10.279</v>
      </c>
      <c r="AA4" s="3" t="n">
        <v>1.866</v>
      </c>
      <c r="AB4" s="0" t="n">
        <v>1.0486625</v>
      </c>
      <c r="AC4" s="0" t="n">
        <v>0.022477272853304</v>
      </c>
      <c r="AD4" s="0" t="n">
        <v>0.202311261864522</v>
      </c>
      <c r="AE4" s="0" t="n">
        <v>-0.4799375</v>
      </c>
      <c r="AF4" s="0" t="n">
        <v>0.00781471656055899</v>
      </c>
      <c r="AG4" s="0" t="n">
        <v>0.0703379444116093</v>
      </c>
      <c r="AH4" s="0" t="n">
        <v>1.7677625</v>
      </c>
      <c r="AI4" s="0" t="n">
        <v>0.0332698636332023</v>
      </c>
      <c r="AJ4" s="0" t="n">
        <v>0.299452168313397</v>
      </c>
      <c r="AK4" s="0" t="n">
        <v>0.0677744371044304</v>
      </c>
      <c r="AL4" s="0" t="n">
        <v>0.0229386365506329</v>
      </c>
      <c r="AM4" s="0" t="n">
        <v>0.884201096121417</v>
      </c>
    </row>
    <row r="5" customFormat="false" ht="13.8" hidden="false" customHeight="false" outlineLevel="0" collapsed="false">
      <c r="A5" s="2" t="n">
        <v>3</v>
      </c>
      <c r="B5" s="3" t="n">
        <v>3</v>
      </c>
      <c r="C5" s="0" t="n">
        <v>4585779.607</v>
      </c>
      <c r="D5" s="0" t="n">
        <v>5350974.638</v>
      </c>
      <c r="E5" s="0" t="n">
        <v>373.498</v>
      </c>
      <c r="F5" s="3" t="n">
        <v>0.407</v>
      </c>
      <c r="G5" s="3" t="n">
        <v>0.101</v>
      </c>
      <c r="H5" s="3" t="n">
        <v>80</v>
      </c>
      <c r="I5" s="3" t="n">
        <v>1</v>
      </c>
      <c r="J5" s="3" t="n">
        <v>5</v>
      </c>
      <c r="K5" s="3" t="n">
        <v>0.5</v>
      </c>
      <c r="L5" s="3" t="n">
        <v>0.248</v>
      </c>
      <c r="M5" s="3" t="n">
        <v>-1.066</v>
      </c>
      <c r="N5" s="3" t="n">
        <v>-0.216</v>
      </c>
      <c r="O5" s="3" t="n">
        <v>0.777</v>
      </c>
      <c r="P5" s="3" t="n">
        <v>-168.572</v>
      </c>
      <c r="Q5" s="3" t="n">
        <v>0.009</v>
      </c>
      <c r="R5" s="3" t="n">
        <v>0.005</v>
      </c>
      <c r="S5" s="3" t="n">
        <v>0.017</v>
      </c>
      <c r="T5" s="3" t="n">
        <v>42.655</v>
      </c>
      <c r="U5" s="3" t="n">
        <v>42.815</v>
      </c>
      <c r="V5" s="3" t="n">
        <v>41</v>
      </c>
      <c r="W5" s="3" t="n">
        <v>0.998</v>
      </c>
      <c r="X5" s="3" t="n">
        <v>0.921</v>
      </c>
      <c r="Y5" s="3" t="n">
        <v>4.159</v>
      </c>
      <c r="Z5" s="3" t="n">
        <v>10.297</v>
      </c>
      <c r="AA5" s="3" t="n">
        <v>1.706</v>
      </c>
      <c r="AB5" s="0" t="n">
        <v>1.065125</v>
      </c>
      <c r="AC5" s="0" t="n">
        <v>0.00935399939531215</v>
      </c>
      <c r="AD5" s="0" t="n">
        <v>0.0841925723594803</v>
      </c>
      <c r="AE5" s="0" t="n">
        <v>-0.2144625</v>
      </c>
      <c r="AF5" s="0" t="n">
        <v>0.00458540291816052</v>
      </c>
      <c r="AG5" s="0" t="n">
        <v>0.0412718507527463</v>
      </c>
      <c r="AH5" s="0" t="n">
        <v>0.771075</v>
      </c>
      <c r="AI5" s="0" t="n">
        <v>0.0176562557522115</v>
      </c>
      <c r="AJ5" s="0" t="n">
        <v>0.158918717779749</v>
      </c>
      <c r="AK5" s="0" t="n">
        <v>0.0170234568829114</v>
      </c>
      <c r="AL5" s="0" t="n">
        <v>0.00439587745253165</v>
      </c>
      <c r="AM5" s="0" t="n">
        <v>0.898081787521079</v>
      </c>
    </row>
    <row r="6" customFormat="false" ht="13.8" hidden="false" customHeight="false" outlineLevel="0" collapsed="false">
      <c r="A6" s="2" t="n">
        <v>4</v>
      </c>
      <c r="B6" s="3" t="n">
        <v>4</v>
      </c>
      <c r="C6" s="0" t="n">
        <v>4585781.396</v>
      </c>
      <c r="D6" s="0" t="n">
        <v>5350974.548</v>
      </c>
      <c r="E6" s="0" t="n">
        <v>373.538</v>
      </c>
      <c r="F6" s="3" t="n">
        <v>0.475</v>
      </c>
      <c r="G6" s="3" t="n">
        <v>0.104</v>
      </c>
      <c r="H6" s="3" t="n">
        <v>80</v>
      </c>
      <c r="I6" s="3" t="n">
        <v>0</v>
      </c>
      <c r="J6" s="3" t="n">
        <v>5</v>
      </c>
      <c r="K6" s="3" t="n">
        <v>1</v>
      </c>
      <c r="L6" s="3" t="n">
        <v>0.219</v>
      </c>
      <c r="M6" s="3" t="n">
        <v>-1.171</v>
      </c>
      <c r="N6" s="3" t="n">
        <v>-0.117</v>
      </c>
      <c r="O6" s="3" t="n">
        <v>0.415</v>
      </c>
      <c r="P6" s="3" t="n">
        <v>-174.277</v>
      </c>
      <c r="Q6" s="3" t="n">
        <v>0.014</v>
      </c>
      <c r="R6" s="3" t="n">
        <v>0.006</v>
      </c>
      <c r="S6" s="3" t="n">
        <v>0.03</v>
      </c>
      <c r="T6" s="3" t="n">
        <v>43.188</v>
      </c>
      <c r="U6" s="3" t="n">
        <v>43.103</v>
      </c>
      <c r="V6" s="3" t="n">
        <v>38.198</v>
      </c>
      <c r="W6" s="3" t="n">
        <v>0.895</v>
      </c>
      <c r="X6" s="3" t="n">
        <v>1</v>
      </c>
      <c r="Y6" s="3" t="n">
        <v>4.578</v>
      </c>
      <c r="Z6" s="3" t="n">
        <v>10.297</v>
      </c>
      <c r="AA6" s="3" t="n">
        <v>1.753</v>
      </c>
      <c r="AB6" s="0" t="n">
        <v>1.17145</v>
      </c>
      <c r="AC6" s="0" t="n">
        <v>0.0141390847918103</v>
      </c>
      <c r="AD6" s="0" t="n">
        <v>0.127261705835463</v>
      </c>
      <c r="AE6" s="0" t="n">
        <v>-0.117425</v>
      </c>
      <c r="AF6" s="0" t="n">
        <v>0.00640431434171528</v>
      </c>
      <c r="AG6" s="0" t="n">
        <v>0.057643332636727</v>
      </c>
      <c r="AH6" s="0" t="n">
        <v>0.41485</v>
      </c>
      <c r="AI6" s="0" t="n">
        <v>0.0300075828958282</v>
      </c>
      <c r="AJ6" s="0" t="n">
        <v>0.270089347617048</v>
      </c>
      <c r="AK6" s="0" t="n">
        <v>0.0462332756329114</v>
      </c>
      <c r="AL6" s="0" t="n">
        <v>0.00975914778481013</v>
      </c>
      <c r="AM6" s="0" t="n">
        <v>0.987731871838111</v>
      </c>
    </row>
    <row r="7" customFormat="false" ht="13.8" hidden="false" customHeight="false" outlineLevel="0" collapsed="false">
      <c r="A7" s="2" t="n">
        <v>5</v>
      </c>
      <c r="B7" s="3" t="n">
        <v>5</v>
      </c>
      <c r="C7" s="0" t="n">
        <v>4585779.641</v>
      </c>
      <c r="D7" s="0" t="n">
        <v>5350960.758</v>
      </c>
      <c r="E7" s="0" t="n">
        <v>373.608</v>
      </c>
      <c r="F7" s="3" t="n">
        <v>0.457</v>
      </c>
      <c r="G7" s="3" t="n">
        <v>0.084</v>
      </c>
      <c r="H7" s="3" t="n">
        <v>80</v>
      </c>
      <c r="I7" s="3" t="n">
        <v>0</v>
      </c>
      <c r="J7" s="3" t="n">
        <v>2</v>
      </c>
      <c r="K7" s="3" t="n">
        <v>0</v>
      </c>
      <c r="L7" s="3" t="n">
        <v>0.184</v>
      </c>
      <c r="M7" s="3" t="n">
        <v>-0.569</v>
      </c>
      <c r="N7" s="3" t="n">
        <v>-0.22</v>
      </c>
      <c r="O7" s="3" t="n">
        <v>0.856</v>
      </c>
      <c r="P7" s="3" t="n">
        <v>-158.89</v>
      </c>
      <c r="Q7" s="3" t="n">
        <v>0.007</v>
      </c>
      <c r="R7" s="3" t="n">
        <v>0.003</v>
      </c>
      <c r="S7" s="3" t="n">
        <v>0.013</v>
      </c>
      <c r="T7" s="3" t="n">
        <v>45.643</v>
      </c>
      <c r="U7" s="3" t="n">
        <v>45.454</v>
      </c>
      <c r="V7" s="3" t="n">
        <v>47.612</v>
      </c>
      <c r="W7" s="3" t="n">
        <v>0.861</v>
      </c>
      <c r="X7" s="3" t="n">
        <v>0.994</v>
      </c>
      <c r="Y7" s="3" t="n">
        <v>0.978</v>
      </c>
      <c r="Z7" s="3" t="n">
        <v>10.33</v>
      </c>
      <c r="AA7" s="3" t="n">
        <v>2.118</v>
      </c>
      <c r="AB7" s="0" t="n">
        <v>0.5691375</v>
      </c>
      <c r="AC7" s="0" t="n">
        <v>0.00726093450747733</v>
      </c>
      <c r="AD7" s="0" t="n">
        <v>0.065353516510232</v>
      </c>
      <c r="AE7" s="0" t="n">
        <v>-0.219775</v>
      </c>
      <c r="AF7" s="0" t="n">
        <v>0.00344968182409625</v>
      </c>
      <c r="AG7" s="0" t="n">
        <v>0.0310495622586808</v>
      </c>
      <c r="AH7" s="0" t="n">
        <v>0.8556375</v>
      </c>
      <c r="AI7" s="0" t="n">
        <v>0.0124360394085848</v>
      </c>
      <c r="AJ7" s="0" t="n">
        <v>0.111933099792304</v>
      </c>
      <c r="AK7" s="0" t="n">
        <v>0.00888208813291139</v>
      </c>
      <c r="AL7" s="0" t="n">
        <v>0.00261757871835443</v>
      </c>
      <c r="AM7" s="0" t="n">
        <v>0.479879848229342</v>
      </c>
    </row>
    <row r="8" customFormat="false" ht="13.8" hidden="false" customHeight="false" outlineLevel="0" collapsed="false">
      <c r="A8" s="2" t="n">
        <v>6</v>
      </c>
      <c r="B8" s="3" t="n">
        <v>6</v>
      </c>
      <c r="C8" s="0" t="n">
        <v>4585781.151</v>
      </c>
      <c r="D8" s="0" t="n">
        <v>5350956.307</v>
      </c>
      <c r="E8" s="0" t="n">
        <v>373.668</v>
      </c>
      <c r="F8" s="3" t="n">
        <v>0.503</v>
      </c>
      <c r="G8" s="3" t="n">
        <v>0.08</v>
      </c>
      <c r="H8" s="3" t="n">
        <v>80</v>
      </c>
      <c r="I8" s="3" t="n">
        <v>1</v>
      </c>
      <c r="J8" s="3" t="n">
        <v>1</v>
      </c>
      <c r="K8" s="3" t="n">
        <v>0</v>
      </c>
      <c r="L8" s="3" t="n">
        <v>0.159</v>
      </c>
      <c r="M8" s="3" t="n">
        <v>-0.21</v>
      </c>
      <c r="N8" s="3" t="n">
        <v>-0.206</v>
      </c>
      <c r="O8" s="3" t="n">
        <v>0.83</v>
      </c>
      <c r="P8" s="3" t="n">
        <v>-135.592</v>
      </c>
      <c r="Q8" s="3" t="n">
        <v>0.006</v>
      </c>
      <c r="R8" s="3" t="n">
        <v>0.005</v>
      </c>
      <c r="S8" s="3" t="n">
        <v>0.02</v>
      </c>
      <c r="T8" s="3" t="n">
        <v>45.381</v>
      </c>
      <c r="U8" s="3" t="n">
        <v>44.871</v>
      </c>
      <c r="V8" s="3" t="n">
        <v>47.285</v>
      </c>
      <c r="W8" s="3" t="n">
        <v>1.244</v>
      </c>
      <c r="X8" s="3" t="n">
        <v>1.305</v>
      </c>
      <c r="Y8" s="3" t="n">
        <v>1.376</v>
      </c>
      <c r="Z8" s="3" t="n">
        <v>10.334</v>
      </c>
      <c r="AA8" s="3" t="n">
        <v>1.151</v>
      </c>
      <c r="AB8" s="0" t="n">
        <v>0.21255</v>
      </c>
      <c r="AC8" s="0" t="n">
        <v>0.00623395189667036</v>
      </c>
      <c r="AD8" s="0" t="n">
        <v>0.0561099508311893</v>
      </c>
      <c r="AE8" s="0" t="n">
        <v>-0.2048125</v>
      </c>
      <c r="AF8" s="0" t="n">
        <v>0.00521443590399527</v>
      </c>
      <c r="AG8" s="0" t="n">
        <v>0.0469335899659147</v>
      </c>
      <c r="AH8" s="0" t="n">
        <v>0.826225</v>
      </c>
      <c r="AI8" s="0" t="n">
        <v>0.0204577688101</v>
      </c>
      <c r="AJ8" s="0" t="n">
        <v>0.184134305345482</v>
      </c>
      <c r="AK8" s="0" t="n">
        <v>0.0196282654272152</v>
      </c>
      <c r="AL8" s="0" t="n">
        <v>0.00267554422468354</v>
      </c>
      <c r="AM8" s="0" t="n">
        <v>0.179215851602024</v>
      </c>
    </row>
    <row r="9" customFormat="false" ht="13.8" hidden="false" customHeight="false" outlineLevel="0" collapsed="false">
      <c r="A9" s="2" t="n">
        <v>7</v>
      </c>
      <c r="B9" s="3" t="n">
        <v>7</v>
      </c>
      <c r="C9" s="0" t="n">
        <v>4585783.54</v>
      </c>
      <c r="D9" s="0" t="n">
        <v>5350956.908</v>
      </c>
      <c r="E9" s="0" t="n">
        <v>373.409</v>
      </c>
      <c r="F9" s="3" t="n">
        <v>0.471</v>
      </c>
      <c r="G9" s="3" t="n">
        <v>0.194</v>
      </c>
      <c r="H9" s="3" t="n">
        <v>80</v>
      </c>
      <c r="I9" s="3" t="n">
        <v>0</v>
      </c>
      <c r="J9" s="3" t="n">
        <v>1</v>
      </c>
      <c r="K9" s="3" t="n">
        <v>0.5</v>
      </c>
      <c r="L9" s="3" t="n">
        <v>0.412</v>
      </c>
      <c r="M9" s="3" t="n">
        <v>-0.486</v>
      </c>
      <c r="N9" s="3" t="n">
        <v>-0.166</v>
      </c>
      <c r="O9" s="3" t="n">
        <v>0.656</v>
      </c>
      <c r="P9" s="3" t="n">
        <v>-161.158</v>
      </c>
      <c r="Q9" s="3" t="n">
        <v>0.012</v>
      </c>
      <c r="R9" s="3" t="n">
        <v>0.01</v>
      </c>
      <c r="S9" s="3" t="n">
        <v>0.039</v>
      </c>
      <c r="T9" s="3" t="n">
        <v>44.786</v>
      </c>
      <c r="U9" s="3" t="n">
        <v>44.92</v>
      </c>
      <c r="V9" s="3" t="n">
        <v>46.789</v>
      </c>
      <c r="W9" s="3" t="n">
        <v>0.975</v>
      </c>
      <c r="X9" s="3" t="n">
        <v>1.185</v>
      </c>
      <c r="Y9" s="3" t="n">
        <v>1.124</v>
      </c>
      <c r="Z9" s="3" t="n">
        <v>10.332</v>
      </c>
      <c r="AA9" s="3" t="n">
        <v>1.713</v>
      </c>
      <c r="AB9" s="0" t="n">
        <v>0.486125</v>
      </c>
      <c r="AC9" s="0" t="n">
        <v>0.0120944638032242</v>
      </c>
      <c r="AD9" s="0" t="n">
        <v>0.108858679145562</v>
      </c>
      <c r="AE9" s="0" t="n">
        <v>-0.1658375</v>
      </c>
      <c r="AF9" s="0" t="n">
        <v>0.00968778941099955</v>
      </c>
      <c r="AG9" s="0" t="n">
        <v>0.0871969172242788</v>
      </c>
      <c r="AH9" s="0" t="n">
        <v>0.65615</v>
      </c>
      <c r="AI9" s="0" t="n">
        <v>0.0390467992446244</v>
      </c>
      <c r="AJ9" s="0" t="n">
        <v>0.351448651200114</v>
      </c>
      <c r="AK9" s="0" t="n">
        <v>0.071484834414557</v>
      </c>
      <c r="AL9" s="0" t="n">
        <v>0.00972675719936709</v>
      </c>
      <c r="AM9" s="0" t="n">
        <v>0.409886172006745</v>
      </c>
    </row>
    <row r="10" customFormat="false" ht="13.8" hidden="false" customHeight="false" outlineLevel="0" collapsed="false">
      <c r="A10" s="2" t="n">
        <v>8</v>
      </c>
      <c r="B10" s="3" t="n">
        <v>8</v>
      </c>
      <c r="C10" s="0" t="n">
        <v>4585786.059</v>
      </c>
      <c r="D10" s="0" t="n">
        <v>5350957.514</v>
      </c>
      <c r="E10" s="0" t="n">
        <v>373.201</v>
      </c>
      <c r="F10" s="3" t="n">
        <v>0.48</v>
      </c>
      <c r="G10" s="3" t="n">
        <v>0.31</v>
      </c>
      <c r="H10" s="3" t="n">
        <v>80</v>
      </c>
      <c r="I10" s="3" t="n">
        <v>3</v>
      </c>
      <c r="J10" s="3" t="n">
        <v>1</v>
      </c>
      <c r="K10" s="3" t="n">
        <v>1</v>
      </c>
      <c r="L10" s="3" t="n">
        <v>0.646</v>
      </c>
      <c r="M10" s="3" t="n">
        <v>-0.999</v>
      </c>
      <c r="N10" s="3" t="n">
        <v>-0.499</v>
      </c>
      <c r="O10" s="3" t="n">
        <v>1.918</v>
      </c>
      <c r="P10" s="3" t="n">
        <v>-153.455</v>
      </c>
      <c r="Q10" s="3" t="n">
        <v>0.018</v>
      </c>
      <c r="R10" s="3" t="n">
        <v>0.01</v>
      </c>
      <c r="S10" s="3" t="n">
        <v>0.049</v>
      </c>
      <c r="T10" s="3" t="n">
        <v>45.059</v>
      </c>
      <c r="U10" s="3" t="n">
        <v>45.314</v>
      </c>
      <c r="V10" s="3" t="n">
        <v>47.398</v>
      </c>
      <c r="W10" s="3" t="n">
        <v>0.727</v>
      </c>
      <c r="X10" s="3" t="n">
        <v>0.916</v>
      </c>
      <c r="Y10" s="3" t="n">
        <v>1.037</v>
      </c>
      <c r="Z10" s="3" t="n">
        <v>10.297</v>
      </c>
      <c r="AA10" s="3" t="n">
        <v>2.949</v>
      </c>
      <c r="AB10" s="0" t="n">
        <v>1.002925</v>
      </c>
      <c r="AC10" s="0" t="n">
        <v>0.0174596031509167</v>
      </c>
      <c r="AD10" s="0" t="n">
        <v>0.15714870608053</v>
      </c>
      <c r="AE10" s="0" t="n">
        <v>-0.4883375</v>
      </c>
      <c r="AF10" s="0" t="n">
        <v>0.0110936770244079</v>
      </c>
      <c r="AG10" s="0" t="n">
        <v>0.0998508943755385</v>
      </c>
      <c r="AH10" s="0" t="n">
        <v>1.8771875</v>
      </c>
      <c r="AI10" s="0" t="n">
        <v>0.0544851817405143</v>
      </c>
      <c r="AJ10" s="0" t="n">
        <v>0.490404950048065</v>
      </c>
      <c r="AK10" s="0" t="n">
        <v>0.137581465981013</v>
      </c>
      <c r="AL10" s="0" t="n">
        <v>0.0173329584651899</v>
      </c>
      <c r="AM10" s="0" t="n">
        <v>0.845636593591906</v>
      </c>
    </row>
    <row r="11" customFormat="false" ht="13.8" hidden="false" customHeight="false" outlineLevel="0" collapsed="false">
      <c r="A11" s="2" t="n">
        <v>9</v>
      </c>
      <c r="B11" s="3" t="n">
        <v>9</v>
      </c>
      <c r="C11" s="0" t="n">
        <v>4585782.676</v>
      </c>
      <c r="D11" s="0" t="n">
        <v>5350952.346</v>
      </c>
      <c r="E11" s="0" t="n">
        <v>373.394</v>
      </c>
      <c r="F11" s="3" t="n">
        <v>0.453</v>
      </c>
      <c r="G11" s="3" t="n">
        <v>0.196</v>
      </c>
      <c r="H11" s="3" t="n">
        <v>80</v>
      </c>
      <c r="I11" s="3" t="n">
        <v>1</v>
      </c>
      <c r="J11" s="3" t="n">
        <v>0.1</v>
      </c>
      <c r="K11" s="3" t="n">
        <v>0</v>
      </c>
      <c r="L11" s="3" t="n">
        <v>0.433</v>
      </c>
      <c r="M11" s="3" t="n">
        <v>-0.308</v>
      </c>
      <c r="N11" s="3" t="n">
        <v>0.074</v>
      </c>
      <c r="O11" s="3" t="n">
        <v>-0.378</v>
      </c>
      <c r="P11" s="3" t="n">
        <v>166.446</v>
      </c>
      <c r="Q11" s="3" t="n">
        <v>0.019</v>
      </c>
      <c r="R11" s="3" t="n">
        <v>0.01</v>
      </c>
      <c r="S11" s="3" t="n">
        <v>0.045</v>
      </c>
      <c r="T11" s="3" t="n">
        <v>46.491</v>
      </c>
      <c r="U11" s="3" t="n">
        <v>46.188</v>
      </c>
      <c r="V11" s="3" t="n">
        <v>48.404</v>
      </c>
      <c r="W11" s="3" t="n">
        <v>1.237</v>
      </c>
      <c r="X11" s="3" t="n">
        <v>1.562</v>
      </c>
      <c r="Y11" s="3" t="n">
        <v>1.641</v>
      </c>
      <c r="Z11" s="3" t="n">
        <v>10.332</v>
      </c>
      <c r="AA11" s="3" t="n">
        <v>2.11</v>
      </c>
      <c r="AB11" s="0" t="n">
        <v>0.3158625</v>
      </c>
      <c r="AC11" s="0" t="n">
        <v>0.0198158297182297</v>
      </c>
      <c r="AD11" s="0" t="n">
        <v>0.178356402102325</v>
      </c>
      <c r="AE11" s="0" t="n">
        <v>0.0758125</v>
      </c>
      <c r="AF11" s="0" t="n">
        <v>0.0103308865445747</v>
      </c>
      <c r="AG11" s="0" t="n">
        <v>0.0929852436571238</v>
      </c>
      <c r="AH11" s="0" t="n">
        <v>-0.3697375</v>
      </c>
      <c r="AI11" s="0" t="n">
        <v>0.0444894149761702</v>
      </c>
      <c r="AJ11" s="0" t="n">
        <v>0.400436020071729</v>
      </c>
      <c r="AK11" s="0" t="n">
        <v>0.100403133939873</v>
      </c>
      <c r="AL11" s="0" t="n">
        <v>0.0202286308544304</v>
      </c>
      <c r="AM11" s="0" t="n">
        <v>0.266325885328836</v>
      </c>
    </row>
    <row r="12" customFormat="false" ht="13.8" hidden="false" customHeight="false" outlineLevel="0" collapsed="false">
      <c r="A12" s="2" t="n">
        <v>10</v>
      </c>
      <c r="B12" s="3" t="n">
        <v>10</v>
      </c>
      <c r="C12" s="0" t="n">
        <v>4585784.04</v>
      </c>
      <c r="D12" s="0" t="n">
        <v>5350952.745</v>
      </c>
      <c r="E12" s="0" t="n">
        <v>373.329</v>
      </c>
      <c r="F12" s="3" t="n">
        <v>0.465</v>
      </c>
      <c r="G12" s="3" t="n">
        <v>0.216</v>
      </c>
      <c r="H12" s="3" t="n">
        <v>80</v>
      </c>
      <c r="I12" s="3" t="n">
        <v>3</v>
      </c>
      <c r="J12" s="3" t="n">
        <v>0.1</v>
      </c>
      <c r="K12" s="3" t="n">
        <v>0.5</v>
      </c>
      <c r="L12" s="3" t="n">
        <v>0.465</v>
      </c>
      <c r="M12" s="3" t="n">
        <v>-0.426</v>
      </c>
      <c r="N12" s="3" t="n">
        <v>-0.047</v>
      </c>
      <c r="O12" s="3" t="n">
        <v>0.288</v>
      </c>
      <c r="P12" s="3" t="n">
        <v>-173.715</v>
      </c>
      <c r="Q12" s="3" t="n">
        <v>0.025</v>
      </c>
      <c r="R12" s="3" t="n">
        <v>0.01</v>
      </c>
      <c r="S12" s="3" t="n">
        <v>0.035</v>
      </c>
      <c r="T12" s="3" t="n">
        <v>43.819</v>
      </c>
      <c r="U12" s="3" t="n">
        <v>43.807</v>
      </c>
      <c r="V12" s="3" t="n">
        <v>45.346</v>
      </c>
      <c r="W12" s="3" t="n">
        <v>1.189</v>
      </c>
      <c r="X12" s="3" t="n">
        <v>1.176</v>
      </c>
      <c r="Y12" s="3" t="n">
        <v>1.357</v>
      </c>
      <c r="Z12" s="3" t="n">
        <v>10.297</v>
      </c>
      <c r="AA12" s="3" t="n">
        <v>3.06</v>
      </c>
      <c r="AB12" s="0" t="n">
        <v>0.406625</v>
      </c>
      <c r="AC12" s="0" t="n">
        <v>0.0265342901673947</v>
      </c>
      <c r="AD12" s="0" t="n">
        <v>0.238827270615969</v>
      </c>
      <c r="AE12" s="0" t="n">
        <v>-0.0451125</v>
      </c>
      <c r="AF12" s="0" t="n">
        <v>0.00960104150844454</v>
      </c>
      <c r="AG12" s="0" t="n">
        <v>0.086416125099516</v>
      </c>
      <c r="AH12" s="0" t="n">
        <v>0.2771625</v>
      </c>
      <c r="AI12" s="0" t="n">
        <v>0.0416834853529773</v>
      </c>
      <c r="AJ12" s="0" t="n">
        <v>0.375180680312495</v>
      </c>
      <c r="AK12" s="0" t="n">
        <v>0.102633377373418</v>
      </c>
      <c r="AL12" s="0" t="n">
        <v>0.0322531059335443</v>
      </c>
      <c r="AM12" s="0" t="n">
        <v>0.34285413153457</v>
      </c>
    </row>
    <row r="13" customFormat="false" ht="13.8" hidden="false" customHeight="false" outlineLevel="0" collapsed="false">
      <c r="A13" s="2" t="n">
        <v>11</v>
      </c>
      <c r="B13" s="3" t="n">
        <v>11</v>
      </c>
      <c r="C13" s="0" t="n">
        <v>4585786.497</v>
      </c>
      <c r="D13" s="0" t="n">
        <v>5350953.41</v>
      </c>
      <c r="E13" s="0" t="n">
        <v>372.954</v>
      </c>
      <c r="F13" s="3" t="n">
        <v>0.501</v>
      </c>
      <c r="G13" s="3" t="n">
        <v>0.373</v>
      </c>
      <c r="H13" s="3" t="n">
        <v>80</v>
      </c>
      <c r="I13" s="3" t="n">
        <v>1</v>
      </c>
      <c r="J13" s="3" t="n">
        <v>0.1</v>
      </c>
      <c r="K13" s="3" t="n">
        <v>1</v>
      </c>
      <c r="L13" s="3" t="n">
        <v>0.745</v>
      </c>
      <c r="M13" s="3" t="n">
        <v>-0.781</v>
      </c>
      <c r="N13" s="3" t="n">
        <v>-0.364</v>
      </c>
      <c r="O13" s="3" t="n">
        <v>2.075</v>
      </c>
      <c r="P13" s="3" t="n">
        <v>-154.987</v>
      </c>
      <c r="Q13" s="3" t="n">
        <v>0.045</v>
      </c>
      <c r="R13" s="3" t="n">
        <v>0.017</v>
      </c>
      <c r="S13" s="3" t="n">
        <v>0.067</v>
      </c>
      <c r="T13" s="3" t="n">
        <v>42.572</v>
      </c>
      <c r="U13" s="3" t="n">
        <v>42.579</v>
      </c>
      <c r="V13" s="3" t="n">
        <v>44.804</v>
      </c>
      <c r="W13" s="3" t="n">
        <v>0.831</v>
      </c>
      <c r="X13" s="3" t="n">
        <v>0.838</v>
      </c>
      <c r="Y13" s="3" t="n">
        <v>1.032</v>
      </c>
      <c r="Z13" s="3" t="n">
        <v>10.26</v>
      </c>
      <c r="AA13" s="3" t="n">
        <v>2.597</v>
      </c>
      <c r="AB13" s="0" t="n">
        <v>0.7495875</v>
      </c>
      <c r="AC13" s="0" t="n">
        <v>0.0540066132922337</v>
      </c>
      <c r="AD13" s="0" t="n">
        <v>0.486097497480662</v>
      </c>
      <c r="AE13" s="0" t="n">
        <v>-0.3633</v>
      </c>
      <c r="AF13" s="0" t="n">
        <v>0.0169313817362908</v>
      </c>
      <c r="AG13" s="0" t="n">
        <v>0.152394341899685</v>
      </c>
      <c r="AH13" s="0" t="n">
        <v>2.0638125</v>
      </c>
      <c r="AI13" s="0" t="n">
        <v>0.0666040166153429</v>
      </c>
      <c r="AJ13" s="0" t="n">
        <v>0.599482985975985</v>
      </c>
      <c r="AK13" s="0" t="n">
        <v>0.309447331487342</v>
      </c>
      <c r="AL13" s="0" t="n">
        <v>0.12975740625</v>
      </c>
      <c r="AM13" s="0" t="n">
        <v>0.632029932546374</v>
      </c>
    </row>
    <row r="14" customFormat="false" ht="13.8" hidden="false" customHeight="false" outlineLevel="0" collapsed="false">
      <c r="A14" s="2" t="n">
        <v>12</v>
      </c>
      <c r="B14" s="3" t="n">
        <v>12</v>
      </c>
      <c r="C14" s="0" t="n">
        <v>4585786.648</v>
      </c>
      <c r="D14" s="0" t="n">
        <v>5350953.076</v>
      </c>
      <c r="E14" s="0" t="n">
        <v>372.872</v>
      </c>
      <c r="F14" s="3" t="n">
        <v>0.452</v>
      </c>
      <c r="G14" s="3" t="n">
        <v>0.426</v>
      </c>
      <c r="H14" s="3" t="n">
        <v>80</v>
      </c>
      <c r="I14" s="3" t="n">
        <v>5</v>
      </c>
      <c r="J14" s="3" t="n">
        <v>0</v>
      </c>
      <c r="K14" s="3" t="n">
        <v>1</v>
      </c>
      <c r="L14" s="3" t="n">
        <v>0.943</v>
      </c>
      <c r="M14" s="3" t="n">
        <v>-1.108</v>
      </c>
      <c r="N14" s="3" t="n">
        <v>-0.671</v>
      </c>
      <c r="O14" s="3" t="n">
        <v>2.264</v>
      </c>
      <c r="P14" s="3" t="n">
        <v>-148.804</v>
      </c>
      <c r="Q14" s="3" t="n">
        <v>0.021</v>
      </c>
      <c r="R14" s="3" t="n">
        <v>0.01</v>
      </c>
      <c r="S14" s="3" t="n">
        <v>0.039</v>
      </c>
      <c r="T14" s="3" t="n">
        <v>43.47</v>
      </c>
      <c r="U14" s="3" t="n">
        <v>43.718</v>
      </c>
      <c r="V14" s="3" t="n">
        <v>45.163</v>
      </c>
      <c r="W14" s="3" t="n">
        <v>0.788</v>
      </c>
      <c r="X14" s="3" t="n">
        <v>1.022</v>
      </c>
      <c r="Y14" s="3" t="n">
        <v>0.821</v>
      </c>
      <c r="Z14" s="3" t="n">
        <v>10.297</v>
      </c>
      <c r="AA14" s="3" t="n">
        <v>3.946</v>
      </c>
      <c r="AB14" s="0" t="n">
        <v>1.115925</v>
      </c>
      <c r="AC14" s="0" t="n">
        <v>0.0237704633881525</v>
      </c>
      <c r="AD14" s="0" t="n">
        <v>0.213950886059323</v>
      </c>
      <c r="AE14" s="0" t="n">
        <v>-0.6589125</v>
      </c>
      <c r="AF14" s="0" t="n">
        <v>0.0111202966708121</v>
      </c>
      <c r="AG14" s="0" t="n">
        <v>0.100090489912309</v>
      </c>
      <c r="AH14" s="0" t="n">
        <v>2.20115</v>
      </c>
      <c r="AI14" s="0" t="n">
        <v>0.0478237914771508</v>
      </c>
      <c r="AJ14" s="0" t="n">
        <v>0.430447753338812</v>
      </c>
      <c r="AK14" s="0" t="n">
        <v>0.120539178085443</v>
      </c>
      <c r="AL14" s="0" t="n">
        <v>0.0278965439082278</v>
      </c>
      <c r="AM14" s="0" t="n">
        <v>0.940914839797639</v>
      </c>
    </row>
    <row r="15" customFormat="false" ht="13.8" hidden="false" customHeight="false" outlineLevel="0" collapsed="false">
      <c r="A15" s="2" t="n">
        <v>13</v>
      </c>
      <c r="B15" s="3" t="n">
        <v>13</v>
      </c>
      <c r="C15" s="0" t="n">
        <v>4585786.69</v>
      </c>
      <c r="D15" s="0" t="n">
        <v>5350952.811</v>
      </c>
      <c r="E15" s="0" t="n">
        <v>372.834</v>
      </c>
      <c r="F15" s="3" t="n">
        <v>0.458</v>
      </c>
      <c r="G15" s="3" t="n">
        <v>0.427</v>
      </c>
      <c r="H15" s="3" t="n">
        <v>80</v>
      </c>
      <c r="I15" s="3" t="n">
        <v>0</v>
      </c>
      <c r="J15" s="3" t="n">
        <v>-0.1</v>
      </c>
      <c r="K15" s="3" t="n">
        <v>1</v>
      </c>
      <c r="L15" s="3" t="n">
        <v>0.933</v>
      </c>
      <c r="M15" s="3" t="n">
        <v>-1.032</v>
      </c>
      <c r="N15" s="3" t="n">
        <v>-0.553</v>
      </c>
      <c r="O15" s="3" t="n">
        <v>2.059</v>
      </c>
      <c r="P15" s="3" t="n">
        <v>-151.83</v>
      </c>
      <c r="Q15" s="3" t="n">
        <v>0.02</v>
      </c>
      <c r="R15" s="3" t="n">
        <v>0.011</v>
      </c>
      <c r="S15" s="3" t="n">
        <v>0.043</v>
      </c>
      <c r="T15" s="3" t="n">
        <v>42.95</v>
      </c>
      <c r="U15" s="3" t="n">
        <v>42.592</v>
      </c>
      <c r="V15" s="3" t="n">
        <v>44.264</v>
      </c>
      <c r="W15" s="3" t="n">
        <v>0.919</v>
      </c>
      <c r="X15" s="3" t="n">
        <v>0.769</v>
      </c>
      <c r="Y15" s="3" t="n">
        <v>0.87</v>
      </c>
      <c r="Z15" s="3" t="n">
        <v>10.328</v>
      </c>
      <c r="AA15" s="3" t="n">
        <v>5.808</v>
      </c>
      <c r="AB15" s="0" t="n">
        <v>1.0319</v>
      </c>
      <c r="AC15" s="0" t="n">
        <v>0.0195693127114878</v>
      </c>
      <c r="AD15" s="0" t="n">
        <v>0.176137575689063</v>
      </c>
      <c r="AE15" s="0" t="n">
        <v>-0.5525</v>
      </c>
      <c r="AF15" s="0" t="n">
        <v>0.0108381415611718</v>
      </c>
      <c r="AG15" s="0" t="n">
        <v>0.0975508955119832</v>
      </c>
      <c r="AH15" s="0" t="n">
        <v>2.0594375</v>
      </c>
      <c r="AI15" s="0" t="n">
        <v>0.0429517456126276</v>
      </c>
      <c r="AJ15" s="0" t="n">
        <v>0.386595914499358</v>
      </c>
      <c r="AK15" s="0" t="n">
        <v>0.0949985119462025</v>
      </c>
      <c r="AL15" s="0" t="n">
        <v>0.0202703113924051</v>
      </c>
      <c r="AM15" s="0" t="n">
        <v>0.870067453625632</v>
      </c>
    </row>
    <row r="16" customFormat="false" ht="13.8" hidden="false" customHeight="false" outlineLevel="0" collapsed="false">
      <c r="A16" s="2" t="n">
        <v>14</v>
      </c>
      <c r="B16" s="3" t="n">
        <v>14</v>
      </c>
      <c r="C16" s="0" t="n">
        <v>4585787.163</v>
      </c>
      <c r="D16" s="0" t="n">
        <v>5350953.264</v>
      </c>
      <c r="E16" s="0" t="n">
        <v>372.899</v>
      </c>
      <c r="F16" s="3" t="n">
        <v>0.451</v>
      </c>
      <c r="G16" s="3" t="n">
        <v>0.416</v>
      </c>
      <c r="H16" s="3" t="n">
        <v>80</v>
      </c>
      <c r="I16" s="3" t="n">
        <v>0</v>
      </c>
      <c r="J16" s="3" t="n">
        <v>0</v>
      </c>
      <c r="K16" s="3" t="n">
        <v>1.1</v>
      </c>
      <c r="L16" s="3" t="n">
        <v>0.923</v>
      </c>
      <c r="M16" s="3" t="n">
        <v>-0.968</v>
      </c>
      <c r="N16" s="3" t="n">
        <v>-0.49</v>
      </c>
      <c r="O16" s="3" t="n">
        <v>1.917</v>
      </c>
      <c r="P16" s="3" t="n">
        <v>-153.139</v>
      </c>
      <c r="Q16" s="3" t="n">
        <v>0.015</v>
      </c>
      <c r="R16" s="3" t="n">
        <v>0.006</v>
      </c>
      <c r="S16" s="3" t="n">
        <v>0.023</v>
      </c>
      <c r="T16" s="3" t="n">
        <v>42.762</v>
      </c>
      <c r="U16" s="3" t="n">
        <v>42.75</v>
      </c>
      <c r="V16" s="3" t="n">
        <v>44.809</v>
      </c>
      <c r="W16" s="3" t="n">
        <v>0.809</v>
      </c>
      <c r="X16" s="3" t="n">
        <v>0.918</v>
      </c>
      <c r="Y16" s="3" t="n">
        <v>0.87</v>
      </c>
      <c r="Z16" s="3" t="n">
        <v>10.334</v>
      </c>
      <c r="AA16" s="3" t="n">
        <v>4.867</v>
      </c>
      <c r="AB16" s="0" t="n">
        <v>0.9684</v>
      </c>
      <c r="AC16" s="0" t="n">
        <v>0.0153120112166887</v>
      </c>
      <c r="AD16" s="0" t="n">
        <v>0.13781886846992</v>
      </c>
      <c r="AE16" s="0" t="n">
        <v>-0.4904625</v>
      </c>
      <c r="AF16" s="0" t="n">
        <v>0.00630292451342034</v>
      </c>
      <c r="AG16" s="0" t="n">
        <v>0.0567307528839941</v>
      </c>
      <c r="AH16" s="0" t="n">
        <v>1.91715</v>
      </c>
      <c r="AI16" s="0" t="n">
        <v>0.0227331606634449</v>
      </c>
      <c r="AJ16" s="0" t="n">
        <v>0.204614432097994</v>
      </c>
      <c r="AK16" s="0" t="n">
        <v>0.0320397423259494</v>
      </c>
      <c r="AL16" s="0" t="n">
        <v>0.011106209414557</v>
      </c>
      <c r="AM16" s="0" t="n">
        <v>0.816526138279933</v>
      </c>
    </row>
    <row r="17" customFormat="false" ht="13.8" hidden="false" customHeight="false" outlineLevel="0" collapsed="false">
      <c r="A17" s="2" t="n">
        <v>15</v>
      </c>
      <c r="B17" s="3" t="n">
        <v>15</v>
      </c>
      <c r="C17" s="0" t="n">
        <v>4585787.587</v>
      </c>
      <c r="D17" s="0" t="n">
        <v>5350953.312</v>
      </c>
      <c r="E17" s="0" t="n">
        <v>372.965</v>
      </c>
      <c r="F17" s="3" t="n">
        <v>0.453</v>
      </c>
      <c r="G17" s="3" t="n">
        <v>0.382</v>
      </c>
      <c r="H17" s="3" t="n">
        <v>80</v>
      </c>
      <c r="I17" s="3" t="n">
        <v>3</v>
      </c>
      <c r="J17" s="3" t="n">
        <v>0</v>
      </c>
      <c r="K17" s="3" t="n">
        <v>1.2</v>
      </c>
      <c r="L17" s="3" t="n">
        <v>0.844</v>
      </c>
      <c r="M17" s="3" t="n">
        <v>-0.717</v>
      </c>
      <c r="N17" s="3" t="n">
        <v>-0.172</v>
      </c>
      <c r="O17" s="3" t="n">
        <v>0.676</v>
      </c>
      <c r="P17" s="3" t="n">
        <v>-166.505</v>
      </c>
      <c r="Q17" s="3" t="n">
        <v>0.015</v>
      </c>
      <c r="R17" s="3" t="n">
        <v>0.007</v>
      </c>
      <c r="S17" s="3" t="n">
        <v>0.031</v>
      </c>
      <c r="T17" s="3" t="n">
        <v>42.765</v>
      </c>
      <c r="U17" s="3" t="n">
        <v>42.591</v>
      </c>
      <c r="V17" s="3" t="n">
        <v>43.894</v>
      </c>
      <c r="W17" s="3" t="n">
        <v>1.081</v>
      </c>
      <c r="X17" s="3" t="n">
        <v>1.014</v>
      </c>
      <c r="Y17" s="3" t="n">
        <v>1.161</v>
      </c>
      <c r="Z17" s="3" t="n">
        <v>10.334</v>
      </c>
      <c r="AA17" s="3" t="n">
        <v>3.677</v>
      </c>
      <c r="AB17" s="0" t="n">
        <v>0.7117375</v>
      </c>
      <c r="AC17" s="0" t="n">
        <v>0.0167610480705079</v>
      </c>
      <c r="AD17" s="0" t="n">
        <v>0.150861219127743</v>
      </c>
      <c r="AE17" s="0" t="n">
        <v>-0.1754</v>
      </c>
      <c r="AF17" s="0" t="n">
        <v>0.0076821749849896</v>
      </c>
      <c r="AG17" s="0" t="n">
        <v>0.0691449770272669</v>
      </c>
      <c r="AH17" s="0" t="n">
        <v>0.6941375</v>
      </c>
      <c r="AI17" s="0" t="n">
        <v>0.0326804353921712</v>
      </c>
      <c r="AJ17" s="0" t="n">
        <v>0.294146899653811</v>
      </c>
      <c r="AK17" s="0" t="n">
        <v>0.0570312669303798</v>
      </c>
      <c r="AL17" s="0" t="n">
        <v>0.0137700676424051</v>
      </c>
      <c r="AM17" s="0" t="n">
        <v>0.600115935919056</v>
      </c>
    </row>
    <row r="18" customFormat="false" ht="13.8" hidden="false" customHeight="false" outlineLevel="0" collapsed="false">
      <c r="A18" s="2" t="n">
        <v>16</v>
      </c>
      <c r="B18" s="3" t="n">
        <v>16</v>
      </c>
      <c r="C18" s="0" t="n">
        <v>4585782.985</v>
      </c>
      <c r="D18" s="0" t="n">
        <v>5350951.33</v>
      </c>
      <c r="E18" s="0" t="n">
        <v>373.669</v>
      </c>
      <c r="F18" s="3" t="n">
        <v>0.473</v>
      </c>
      <c r="G18" s="3" t="n">
        <v>0.158</v>
      </c>
      <c r="H18" s="3" t="n">
        <v>80</v>
      </c>
      <c r="I18" s="3" t="n">
        <v>2</v>
      </c>
      <c r="J18" s="3" t="n">
        <v>-0.1</v>
      </c>
      <c r="K18" s="3" t="n">
        <v>0</v>
      </c>
      <c r="L18" s="3" t="n">
        <v>0.334</v>
      </c>
      <c r="M18" s="3" t="n">
        <v>-0.182</v>
      </c>
      <c r="N18" s="3" t="n">
        <v>-0.038</v>
      </c>
      <c r="O18" s="3" t="n">
        <v>0.209</v>
      </c>
      <c r="P18" s="3" t="n">
        <v>-168.198</v>
      </c>
      <c r="Q18" s="3" t="n">
        <v>0.01</v>
      </c>
      <c r="R18" s="3" t="n">
        <v>0.007</v>
      </c>
      <c r="S18" s="3" t="n">
        <v>0.03</v>
      </c>
      <c r="T18" s="3" t="n">
        <v>43.657</v>
      </c>
      <c r="U18" s="3" t="n">
        <v>43.532</v>
      </c>
      <c r="V18" s="3" t="n">
        <v>45.162</v>
      </c>
      <c r="W18" s="3" t="n">
        <v>1.53</v>
      </c>
      <c r="X18" s="3" t="n">
        <v>1.514</v>
      </c>
      <c r="Y18" s="3" t="n">
        <v>1.497</v>
      </c>
      <c r="Z18" s="3" t="n">
        <v>10.313</v>
      </c>
      <c r="AA18" s="3" t="n">
        <v>3.144</v>
      </c>
      <c r="AB18" s="0" t="n">
        <v>0.1758375</v>
      </c>
      <c r="AC18" s="0" t="n">
        <v>0.0110799289786476</v>
      </c>
      <c r="AD18" s="0" t="n">
        <v>0.0997271522959685</v>
      </c>
      <c r="AE18" s="0" t="n">
        <v>-0.0367125</v>
      </c>
      <c r="AF18" s="0" t="n">
        <v>0.00741030097545808</v>
      </c>
      <c r="AG18" s="0" t="n">
        <v>0.0666979197576656</v>
      </c>
      <c r="AH18" s="0" t="n">
        <v>0.213325</v>
      </c>
      <c r="AI18" s="0" t="n">
        <v>0.0322234424322961</v>
      </c>
      <c r="AJ18" s="0" t="n">
        <v>0.290033641654101</v>
      </c>
      <c r="AK18" s="0" t="n">
        <v>0.0492568153481013</v>
      </c>
      <c r="AL18" s="0" t="n">
        <v>0.00719705870253165</v>
      </c>
      <c r="AM18" s="0" t="n">
        <v>0.148260961214165</v>
      </c>
    </row>
    <row r="19" customFormat="false" ht="13.8" hidden="false" customHeight="false" outlineLevel="0" collapsed="false">
      <c r="A19" s="2" t="n">
        <v>17</v>
      </c>
      <c r="B19" s="3" t="n">
        <v>17</v>
      </c>
      <c r="C19" s="0" t="n">
        <v>4585784.473</v>
      </c>
      <c r="D19" s="0" t="n">
        <v>5350951.875</v>
      </c>
      <c r="E19" s="0" t="n">
        <v>373.214</v>
      </c>
      <c r="F19" s="3" t="n">
        <v>0.476</v>
      </c>
      <c r="G19" s="3" t="n">
        <v>0.312</v>
      </c>
      <c r="H19" s="3" t="n">
        <v>80</v>
      </c>
      <c r="I19" s="3" t="n">
        <v>0</v>
      </c>
      <c r="J19" s="3" t="n">
        <v>-0.1</v>
      </c>
      <c r="K19" s="3" t="n">
        <v>0.5</v>
      </c>
      <c r="L19" s="3" t="n">
        <v>0.655</v>
      </c>
      <c r="M19" s="3" t="n">
        <v>-0.195</v>
      </c>
      <c r="N19" s="3" t="n">
        <v>0.035</v>
      </c>
      <c r="O19" s="3" t="n">
        <v>-0.198</v>
      </c>
      <c r="P19" s="3" t="n">
        <v>169.698</v>
      </c>
      <c r="Q19" s="3" t="n">
        <v>0.021</v>
      </c>
      <c r="R19" s="3" t="n">
        <v>0.01</v>
      </c>
      <c r="S19" s="3" t="n">
        <v>0.041</v>
      </c>
      <c r="T19" s="3" t="n">
        <v>44.498</v>
      </c>
      <c r="U19" s="3" t="n">
        <v>44.365</v>
      </c>
      <c r="V19" s="3" t="n">
        <v>46.089</v>
      </c>
      <c r="W19" s="3" t="n">
        <v>1.457</v>
      </c>
      <c r="X19" s="3" t="n">
        <v>1.314</v>
      </c>
      <c r="Y19" s="3" t="n">
        <v>1.184</v>
      </c>
      <c r="Z19" s="3" t="n">
        <v>10.295</v>
      </c>
      <c r="AA19" s="3" t="n">
        <v>3.255</v>
      </c>
      <c r="AB19" s="0" t="n">
        <v>0.1951125</v>
      </c>
      <c r="AC19" s="0" t="n">
        <v>0.0208977420561858</v>
      </c>
      <c r="AD19" s="0" t="n">
        <v>0.1880943739527</v>
      </c>
      <c r="AE19" s="0" t="n">
        <v>0.0355</v>
      </c>
      <c r="AF19" s="0" t="n">
        <v>0.00964783006691142</v>
      </c>
      <c r="AG19" s="0" t="n">
        <v>0.0868372550277788</v>
      </c>
      <c r="AH19" s="0" t="n">
        <v>-0.198425</v>
      </c>
      <c r="AI19" s="0" t="n">
        <v>0.0403314849675474</v>
      </c>
      <c r="AJ19" s="0" t="n">
        <v>0.363011726106939</v>
      </c>
      <c r="AK19" s="0" t="n">
        <v>0.0873488578322785</v>
      </c>
      <c r="AL19" s="0" t="n">
        <v>0.0214601011867089</v>
      </c>
      <c r="AM19" s="0" t="n">
        <v>0.164513069139966</v>
      </c>
    </row>
    <row r="20" customFormat="false" ht="13.8" hidden="false" customHeight="false" outlineLevel="0" collapsed="false">
      <c r="A20" s="2" t="n">
        <v>18</v>
      </c>
      <c r="B20" s="3" t="n">
        <v>18</v>
      </c>
      <c r="C20" s="0" t="n">
        <v>4585786.69</v>
      </c>
      <c r="D20" s="0" t="n">
        <v>5350952.811</v>
      </c>
      <c r="E20" s="0" t="n">
        <v>372.834</v>
      </c>
      <c r="F20" s="3" t="n">
        <v>0.447</v>
      </c>
      <c r="G20" s="3" t="n">
        <v>0.406</v>
      </c>
      <c r="H20" s="3" t="n">
        <v>80</v>
      </c>
      <c r="I20" s="3" t="n">
        <v>0</v>
      </c>
      <c r="J20" s="3" t="n">
        <v>-0.1</v>
      </c>
      <c r="K20" s="3" t="n">
        <v>1</v>
      </c>
      <c r="L20" s="3" t="n">
        <v>0.908</v>
      </c>
      <c r="M20" s="3" t="n">
        <v>-1.037</v>
      </c>
      <c r="N20" s="3" t="n">
        <v>-0.572</v>
      </c>
      <c r="O20" s="3" t="n">
        <v>2.138</v>
      </c>
      <c r="P20" s="3" t="n">
        <v>-151.149</v>
      </c>
      <c r="Q20" s="3" t="n">
        <v>0.013</v>
      </c>
      <c r="R20" s="3" t="n">
        <v>0.01</v>
      </c>
      <c r="S20" s="3" t="n">
        <v>0.041</v>
      </c>
      <c r="T20" s="3" t="n">
        <v>44.327</v>
      </c>
      <c r="U20" s="3" t="n">
        <v>44.127</v>
      </c>
      <c r="V20" s="3" t="n">
        <v>45.973</v>
      </c>
      <c r="W20" s="3" t="n">
        <v>0.862</v>
      </c>
      <c r="X20" s="3" t="n">
        <v>0.761</v>
      </c>
      <c r="Y20" s="3" t="n">
        <v>0.97</v>
      </c>
      <c r="Z20" s="3" t="n">
        <v>10.259</v>
      </c>
      <c r="AA20" s="3" t="n">
        <v>8.653</v>
      </c>
      <c r="AB20" s="0" t="n">
        <v>1.0373875</v>
      </c>
      <c r="AC20" s="0" t="n">
        <v>0.0131364413673139</v>
      </c>
      <c r="AD20" s="0" t="n">
        <v>0.118237209948712</v>
      </c>
      <c r="AE20" s="0" t="n">
        <v>-0.5714875</v>
      </c>
      <c r="AF20" s="0" t="n">
        <v>0.0102430768349591</v>
      </c>
      <c r="AG20" s="0" t="n">
        <v>0.0921948945221446</v>
      </c>
      <c r="AH20" s="0" t="n">
        <v>2.1384375</v>
      </c>
      <c r="AI20" s="0" t="n">
        <v>0.0403916097558871</v>
      </c>
      <c r="AJ20" s="0" t="n">
        <v>0.363552891482193</v>
      </c>
      <c r="AK20" s="0" t="n">
        <v>0.0773253206487342</v>
      </c>
      <c r="AL20" s="0" t="n">
        <v>0.0112399681962025</v>
      </c>
      <c r="AM20" s="0" t="n">
        <v>0.874694350758853</v>
      </c>
    </row>
    <row r="21" customFormat="false" ht="13.8" hidden="false" customHeight="false" outlineLevel="0" collapsed="false">
      <c r="A21" s="2" t="n">
        <v>19</v>
      </c>
      <c r="B21" s="3" t="n">
        <v>19</v>
      </c>
      <c r="C21" s="0" t="n">
        <v>4585782.328</v>
      </c>
      <c r="D21" s="0" t="n">
        <v>5350961.323</v>
      </c>
      <c r="E21" s="0" t="n">
        <v>373.493</v>
      </c>
      <c r="F21" s="3" t="n">
        <v>0.511</v>
      </c>
      <c r="G21" s="3" t="n">
        <v>0.169</v>
      </c>
      <c r="H21" s="3" t="n">
        <v>80</v>
      </c>
      <c r="I21" s="3" t="n">
        <v>1</v>
      </c>
      <c r="J21" s="3" t="n">
        <v>2</v>
      </c>
      <c r="K21" s="3" t="n">
        <v>0.5</v>
      </c>
      <c r="L21" s="3" t="n">
        <v>0.331</v>
      </c>
      <c r="M21" s="3" t="n">
        <v>-0.828</v>
      </c>
      <c r="N21" s="3" t="n">
        <v>-0.318</v>
      </c>
      <c r="O21" s="3" t="n">
        <v>1.228</v>
      </c>
      <c r="P21" s="3" t="n">
        <v>-158.993</v>
      </c>
      <c r="Q21" s="3" t="n">
        <v>0.009</v>
      </c>
      <c r="R21" s="3" t="n">
        <v>0.005</v>
      </c>
      <c r="S21" s="3" t="n">
        <v>0.02</v>
      </c>
      <c r="T21" s="3" t="n">
        <v>44.084</v>
      </c>
      <c r="U21" s="3" t="n">
        <v>44.519</v>
      </c>
      <c r="V21" s="3" t="n">
        <v>46.656</v>
      </c>
      <c r="W21" s="3" t="n">
        <v>1.18</v>
      </c>
      <c r="X21" s="3" t="n">
        <v>0.798</v>
      </c>
      <c r="Y21" s="3" t="n">
        <v>1.024</v>
      </c>
      <c r="Z21" s="3" t="n">
        <v>10.295</v>
      </c>
      <c r="AA21" s="3" t="n">
        <v>2.687</v>
      </c>
      <c r="AB21" s="0" t="n">
        <v>0.828625</v>
      </c>
      <c r="AC21" s="0" t="n">
        <v>0.00862777808520247</v>
      </c>
      <c r="AD21" s="0" t="n">
        <v>0.077656069884288</v>
      </c>
      <c r="AE21" s="0" t="n">
        <v>-0.3162</v>
      </c>
      <c r="AF21" s="0" t="n">
        <v>0.0051642218678132</v>
      </c>
      <c r="AG21" s="0" t="n">
        <v>0.0464816283293937</v>
      </c>
      <c r="AH21" s="0" t="n">
        <v>1.22065</v>
      </c>
      <c r="AI21" s="0" t="n">
        <v>0.0205727223830489</v>
      </c>
      <c r="AJ21" s="0" t="n">
        <v>0.185168968338226</v>
      </c>
      <c r="AK21" s="0" t="n">
        <v>0.0212392768987342</v>
      </c>
      <c r="AL21" s="0" t="n">
        <v>0.00409550348101266</v>
      </c>
      <c r="AM21" s="0" t="n">
        <v>0.698672006745363</v>
      </c>
    </row>
    <row r="22" customFormat="false" ht="13.8" hidden="false" customHeight="false" outlineLevel="0" collapsed="false">
      <c r="A22" s="2" t="n">
        <v>20</v>
      </c>
      <c r="B22" s="3" t="n">
        <v>20</v>
      </c>
      <c r="C22" s="0" t="n">
        <v>4585784.869</v>
      </c>
      <c r="D22" s="0" t="n">
        <v>5350961.821</v>
      </c>
      <c r="E22" s="0" t="n">
        <v>373.331</v>
      </c>
      <c r="F22" s="3" t="n">
        <v>0.508</v>
      </c>
      <c r="G22" s="3" t="n">
        <v>0.23</v>
      </c>
      <c r="H22" s="3" t="n">
        <v>80</v>
      </c>
      <c r="I22" s="3" t="n">
        <v>0</v>
      </c>
      <c r="J22" s="3" t="n">
        <v>2</v>
      </c>
      <c r="K22" s="3" t="n">
        <v>1</v>
      </c>
      <c r="L22" s="3" t="n">
        <v>0.453</v>
      </c>
      <c r="M22" s="3" t="n">
        <v>-1.133</v>
      </c>
      <c r="N22" s="3" t="n">
        <v>-0.402</v>
      </c>
      <c r="O22" s="3" t="n">
        <v>1.56</v>
      </c>
      <c r="P22" s="3" t="n">
        <v>-160.47</v>
      </c>
      <c r="Q22" s="3" t="n">
        <v>0.009</v>
      </c>
      <c r="R22" s="3" t="n">
        <v>0.005</v>
      </c>
      <c r="S22" s="3" t="n">
        <v>0.024</v>
      </c>
      <c r="T22" s="3" t="n">
        <v>43.628</v>
      </c>
      <c r="U22" s="3" t="n">
        <v>43.662</v>
      </c>
      <c r="V22" s="3" t="n">
        <v>45.985</v>
      </c>
      <c r="W22" s="3" t="n">
        <v>0.975</v>
      </c>
      <c r="X22" s="3" t="n">
        <v>0.964</v>
      </c>
      <c r="Y22" s="3" t="n">
        <v>0.834</v>
      </c>
      <c r="Z22" s="3" t="n">
        <v>10.297</v>
      </c>
      <c r="AA22" s="3" t="n">
        <v>2.192</v>
      </c>
      <c r="AB22" s="0" t="n">
        <v>1.132725</v>
      </c>
      <c r="AC22" s="0" t="n">
        <v>0.00912289316431471</v>
      </c>
      <c r="AD22" s="0" t="n">
        <v>0.0821124537648896</v>
      </c>
      <c r="AE22" s="0" t="n">
        <v>-0.40185</v>
      </c>
      <c r="AF22" s="0" t="n">
        <v>0.00545223864573076</v>
      </c>
      <c r="AG22" s="0" t="n">
        <v>0.0490739818661838</v>
      </c>
      <c r="AH22" s="0" t="n">
        <v>1.5599125</v>
      </c>
      <c r="AI22" s="0" t="n">
        <v>0.0236545727196006</v>
      </c>
      <c r="AJ22" s="0" t="n">
        <v>0.21290778854718</v>
      </c>
      <c r="AK22" s="0" t="n">
        <v>0.0272402185917722</v>
      </c>
      <c r="AL22" s="0" t="n">
        <v>0.00457535537974684</v>
      </c>
      <c r="AM22" s="0" t="n">
        <v>0.955080101180438</v>
      </c>
    </row>
    <row r="23" customFormat="false" ht="13.8" hidden="false" customHeight="false" outlineLevel="0" collapsed="false"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3.8" hidden="false" customHeight="false" outlineLevel="0" collapsed="false">
      <c r="F24" s="0" t="s">
        <v>38</v>
      </c>
      <c r="G24" s="4" t="n">
        <f aca="false">MAX(G1:G22)</f>
        <v>0.427</v>
      </c>
    </row>
    <row r="25" customFormat="false" ht="13.8" hidden="false" customHeight="false" outlineLevel="0" collapsed="false">
      <c r="F25" s="0" t="s">
        <v>39</v>
      </c>
      <c r="G25" s="0" t="n">
        <f aca="false">AVERAGE(G2:G22)</f>
        <v>0.246142857142857</v>
      </c>
      <c r="I25" s="3" t="s">
        <v>40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2022-11-07T10:43:52Z</dcterms:created>
  <dc:creator>openpyxl</dc:creator>
  <dc:description/>
  <dc:language>en-US</dc:language>
  <cp:lastModifiedBy/>
  <dcterms:modified xsi:type="dcterms:W3CDTF">2022-11-07T12:00:00Z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