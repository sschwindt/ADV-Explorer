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ke sta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<sst xmlns="http://schemas.openxmlformats.org/spreadsheetml/2006/main" count="40" uniqueCount="40">
  <si>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# ()</t>
  </si>
  <si>
    <t xml:space="preserve">GK Zone 4 - Easting</t>
  </si>
  <si>
    <t xml:space="preserve">GK Zone 4 - Northing</t>
  </si>
  <si>
    <t xml:space="preserve">Elevation (ellipsoidal, WGS84)</t>
  </si>
  <si>
    <t xml:space="preserve">%Dep ()</t>
  </si>
  <si>
    <t xml:space="preserve">MeasD (m)</t>
  </si>
  <si>
    <t xml:space="preserve">Npts ()</t>
  </si>
  <si>
    <t xml:space="preserve">Spike ()</t>
  </si>
  <si>
    <t xml:space="preserve">Loc (m)</t>
  </si>
  <si>
    <t xml:space="preserve">LocY (m)</t>
  </si>
  <si>
    <t xml:space="preserve">Depth1 (m)</t>
  </si>
  <si>
    <t xml:space="preserve">VelX (m/s)</t>
  </si>
  <si>
    <t xml:space="preserve">VelY (m/s)</t>
  </si>
  <si>
    <t xml:space="preserve">VelZ (m/s)</t>
  </si>
  <si>
    <t xml:space="preserve">Angle (deg)</t>
  </si>
  <si>
    <t xml:space="preserve">VxErr (m/s)</t>
  </si>
  <si>
    <t xml:space="preserve">VyErr (m/s)</t>
  </si>
  <si>
    <t xml:space="preserve">VzErr (m/s)</t>
  </si>
  <si>
    <t xml:space="preserve">SNR1 (dB)</t>
  </si>
  <si>
    <t xml:space="preserve">SNR2 (dB)</t>
  </si>
  <si>
    <t xml:space="preserve">SNR3 (dB)</t>
  </si>
  <si>
    <t xml:space="preserve">SNRStd1 (dB)</t>
  </si>
  <si>
    <t xml:space="preserve">SNRStd2 (dB)</t>
  </si>
  <si>
    <t xml:space="preserve">SNRStd3 (dB)</t>
  </si>
  <si>
    <t xml:space="preserve">Temp (°C)</t>
  </si>
  <si>
    <t xml:space="preserve">Tilt (deg)</t>
  </si>
  <si>
    <t xml:space="preserve">u average (m/s)</t>
  </si>
  <si>
    <t xml:space="preserve">u std (m/s)</t>
  </si>
  <si>
    <t xml:space="preserve">u stderr (m/s)</t>
  </si>
  <si>
    <t xml:space="preserve">v average (m/s)</t>
  </si>
  <si>
    <t xml:space="preserve">v std (m/s)</t>
  </si>
  <si>
    <t xml:space="preserve">v stderr (m/s)</t>
  </si>
  <si>
    <t xml:space="preserve">w average (m/s)</t>
  </si>
  <si>
    <t xml:space="preserve">w std (m/s)</t>
  </si>
  <si>
    <t xml:space="preserve">w stderr (m/s)</t>
  </si>
  <si>
    <t xml:space="preserve">TKE norm. (-)</t>
  </si>
  <si>
    <t xml:space="preserve">TKE 2d norm. (-)</t>
  </si>
  <si>
    <t xml:space="preserve">u norm. (-)</t>
  </si>
  <si>
    <t xml:space="preserve">MAX depth</t>
  </si>
  <si>
    <t xml:space="preserve">AVRG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</si>
</sst>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M1" activeCellId="0" sqref="AM1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4585738.013</v>
      </c>
      <c r="D2" s="0" t="n">
        <v>5350907.558</v>
      </c>
      <c r="E2" s="0" t="n">
        <v>373.758</v>
      </c>
      <c r="F2" s="0" t="n">
        <v>0.506</v>
      </c>
      <c r="G2" s="0" t="n">
        <v>0.21</v>
      </c>
      <c r="H2" s="0" t="n">
        <v>80</v>
      </c>
      <c r="I2" s="0" t="n">
        <v>0</v>
      </c>
      <c r="J2" s="0" t="n">
        <v>-0.1</v>
      </c>
      <c r="K2" s="0" t="n">
        <v>0</v>
      </c>
      <c r="L2" s="0" t="n">
        <v>0.415</v>
      </c>
      <c r="M2" s="0" t="n">
        <v>-0.017</v>
      </c>
      <c r="N2" s="0" t="n">
        <v>-0.268</v>
      </c>
      <c r="O2" s="0" t="n">
        <v>1.073</v>
      </c>
      <c r="P2" s="0" t="n">
        <v>-93.655</v>
      </c>
      <c r="Q2" s="0" t="n">
        <v>0.009</v>
      </c>
      <c r="R2" s="0" t="n">
        <v>0.009</v>
      </c>
      <c r="S2" s="0" t="n">
        <v>0.038</v>
      </c>
      <c r="T2" s="0" t="n">
        <v>44.737</v>
      </c>
      <c r="U2" s="0" t="n">
        <v>44.728</v>
      </c>
      <c r="V2" s="0" t="n">
        <v>46.961</v>
      </c>
      <c r="W2" s="0" t="n">
        <v>1.746</v>
      </c>
      <c r="X2" s="0" t="n">
        <v>1.639</v>
      </c>
      <c r="Y2" s="0" t="n">
        <v>1.644</v>
      </c>
      <c r="Z2" s="0" t="n">
        <v>10.483</v>
      </c>
      <c r="AA2" s="0" t="n">
        <v>1.319</v>
      </c>
      <c r="AB2" s="0" t="n">
        <v>0.01715</v>
      </c>
      <c r="AC2" s="0" t="n">
        <v>0.00932175043916109</v>
      </c>
      <c r="AD2" s="0" t="n">
        <v>0.0839023090764159</v>
      </c>
      <c r="AE2" s="0" t="n">
        <v>-0.2679375</v>
      </c>
      <c r="AF2" s="0" t="n">
        <v>0.00920599912675832</v>
      </c>
      <c r="AG2" s="0" t="n">
        <v>0.0828604658676106</v>
      </c>
      <c r="AH2" s="0" t="n">
        <v>1.0727375</v>
      </c>
      <c r="AI2" s="0" t="n">
        <v>0.0379921568540386</v>
      </c>
      <c r="AJ2" s="0" t="n">
        <v>0.341956128052501</v>
      </c>
      <c r="AK2" s="0" t="n">
        <v>0.0654197238924051</v>
      </c>
      <c r="AL2" s="0" t="n">
        <v>0.00695272713607595</v>
      </c>
      <c r="AM2" s="0" t="n">
        <v>0.0145585738539898</v>
      </c>
    </row>
    <row r="3" customFormat="false" ht="13.8" hidden="false" customHeight="false" outlineLevel="0" collapsed="false">
      <c r="A3" s="1" t="n">
        <v>1</v>
      </c>
      <c r="B3" s="0" t="n">
        <v>1</v>
      </c>
      <c r="C3" s="0" t="n">
        <v>4585738.17871429</v>
      </c>
      <c r="D3" s="0" t="n">
        <v>5350909.652</v>
      </c>
      <c r="E3" s="0" t="n">
        <v>373.422428571429</v>
      </c>
      <c r="F3" s="0" t="n">
        <v>0.551</v>
      </c>
      <c r="G3" s="0" t="n">
        <v>0.39</v>
      </c>
      <c r="H3" s="0" t="n">
        <v>80</v>
      </c>
      <c r="I3" s="0" t="n">
        <v>0</v>
      </c>
      <c r="J3" s="0" t="n">
        <v>-0.1</v>
      </c>
      <c r="K3" s="0" t="n">
        <v>0.5</v>
      </c>
      <c r="L3" s="0" t="n">
        <v>0.708</v>
      </c>
      <c r="M3" s="0" t="n">
        <v>-0.375</v>
      </c>
      <c r="N3" s="0" t="n">
        <v>-0.128</v>
      </c>
      <c r="O3" s="0" t="n">
        <v>0.136</v>
      </c>
      <c r="P3" s="0" t="n">
        <v>-161.133</v>
      </c>
      <c r="Q3" s="0" t="n">
        <v>0.016</v>
      </c>
      <c r="R3" s="0" t="n">
        <v>0.009</v>
      </c>
      <c r="S3" s="0" t="n">
        <v>0.041</v>
      </c>
      <c r="T3" s="0" t="n">
        <v>49.272</v>
      </c>
      <c r="U3" s="0" t="n">
        <v>41.355</v>
      </c>
      <c r="V3" s="0" t="n">
        <v>50.957</v>
      </c>
      <c r="W3" s="0" t="n">
        <v>1.007</v>
      </c>
      <c r="X3" s="0" t="n">
        <v>3.87</v>
      </c>
      <c r="Y3" s="0" t="n">
        <v>1.014</v>
      </c>
      <c r="Z3" s="0" t="n">
        <v>10.334</v>
      </c>
      <c r="AA3" s="0" t="n">
        <v>3.47</v>
      </c>
      <c r="AB3" s="0" t="n">
        <v>0.37525</v>
      </c>
      <c r="AC3" s="0" t="n">
        <v>0.0155584030751874</v>
      </c>
      <c r="AD3" s="0" t="n">
        <v>0.140036568460988</v>
      </c>
      <c r="AE3" s="0" t="n">
        <v>-0.128225</v>
      </c>
      <c r="AF3" s="0" t="n">
        <v>0.00917426725616275</v>
      </c>
      <c r="AG3" s="0" t="n">
        <v>0.082574856718164</v>
      </c>
      <c r="AH3" s="0" t="n">
        <v>0.1357625</v>
      </c>
      <c r="AI3" s="0" t="n">
        <v>0.0409150310237188</v>
      </c>
      <c r="AJ3" s="0" t="n">
        <v>0.368264050966392</v>
      </c>
      <c r="AK3" s="0" t="n">
        <v>0.0810236293512659</v>
      </c>
      <c r="AL3" s="0" t="n">
        <v>0.0132144237341772</v>
      </c>
      <c r="AM3" s="0" t="n">
        <v>0.318548387096774</v>
      </c>
    </row>
    <row r="4" customFormat="false" ht="13.8" hidden="false" customHeight="false" outlineLevel="0" collapsed="false">
      <c r="A4" s="1" t="n">
        <v>2</v>
      </c>
      <c r="B4" s="0" t="n">
        <v>2</v>
      </c>
      <c r="C4" s="2" t="n">
        <v>4585738.132</v>
      </c>
      <c r="D4" s="2" t="n">
        <v>5350911.542</v>
      </c>
      <c r="E4" s="2" t="n">
        <v>373.432</v>
      </c>
      <c r="F4" s="0" t="n">
        <v>0.501</v>
      </c>
      <c r="G4" s="0" t="n">
        <v>0.345</v>
      </c>
      <c r="H4" s="0" t="n">
        <v>80</v>
      </c>
      <c r="I4" s="0" t="n">
        <v>1</v>
      </c>
      <c r="J4" s="0" t="n">
        <v>-0.1</v>
      </c>
      <c r="K4" s="0" t="n">
        <v>0.9</v>
      </c>
      <c r="L4" s="0" t="n">
        <v>0.688</v>
      </c>
      <c r="M4" s="0" t="n">
        <v>-0.467</v>
      </c>
      <c r="N4" s="0" t="n">
        <v>-0.364</v>
      </c>
      <c r="O4" s="0" t="n">
        <v>1.149</v>
      </c>
      <c r="P4" s="0" t="n">
        <v>-142.014</v>
      </c>
      <c r="Q4" s="0" t="n">
        <v>0.016</v>
      </c>
      <c r="R4" s="0" t="n">
        <v>0.01</v>
      </c>
      <c r="S4" s="0" t="n">
        <v>0.04</v>
      </c>
      <c r="T4" s="0" t="n">
        <v>48.806</v>
      </c>
      <c r="U4" s="0" t="n">
        <v>48.494</v>
      </c>
      <c r="V4" s="0" t="n">
        <v>50.411</v>
      </c>
      <c r="W4" s="0" t="n">
        <v>1.081</v>
      </c>
      <c r="X4" s="0" t="n">
        <v>1.293</v>
      </c>
      <c r="Y4" s="0" t="n">
        <v>1.069</v>
      </c>
      <c r="Z4" s="0" t="n">
        <v>10.222</v>
      </c>
      <c r="AA4" s="0" t="n">
        <v>1.843</v>
      </c>
      <c r="AB4" s="0" t="n">
        <v>0.46955</v>
      </c>
      <c r="AC4" s="0" t="n">
        <v>0.0160485094712874</v>
      </c>
      <c r="AD4" s="0" t="n">
        <v>0.144447870672337</v>
      </c>
      <c r="AE4" s="0" t="n">
        <v>-0.3605125</v>
      </c>
      <c r="AF4" s="0" t="n">
        <v>0.01023428664084</v>
      </c>
      <c r="AG4" s="0" t="n">
        <v>0.0921157765937429</v>
      </c>
      <c r="AH4" s="0" t="n">
        <v>1.13465</v>
      </c>
      <c r="AI4" s="0" t="n">
        <v>0.0422177025221648</v>
      </c>
      <c r="AJ4" s="0" t="n">
        <v>0.379989010500654</v>
      </c>
      <c r="AK4" s="0" t="n">
        <v>0.0868710758702532</v>
      </c>
      <c r="AL4" s="0" t="n">
        <v>0.0146752518196203</v>
      </c>
      <c r="AM4" s="0" t="n">
        <v>0.398599320882852</v>
      </c>
    </row>
    <row r="5" customFormat="false" ht="13.8" hidden="false" customHeight="false" outlineLevel="0" collapsed="false">
      <c r="A5" s="1" t="n">
        <v>3</v>
      </c>
      <c r="B5" s="0" t="n">
        <v>3</v>
      </c>
      <c r="C5" s="0" t="n">
        <v>4585738.122</v>
      </c>
      <c r="D5" s="0" t="n">
        <v>5350911.842</v>
      </c>
      <c r="E5" s="0" t="n">
        <v>373.455</v>
      </c>
      <c r="F5" s="0" t="n">
        <v>0.453</v>
      </c>
      <c r="G5" s="0" t="n">
        <v>0.297</v>
      </c>
      <c r="H5" s="0" t="n">
        <v>80</v>
      </c>
      <c r="I5" s="0" t="n">
        <v>1</v>
      </c>
      <c r="J5" s="0" t="n">
        <v>-0.1</v>
      </c>
      <c r="K5" s="0" t="n">
        <v>1</v>
      </c>
      <c r="L5" s="0" t="n">
        <v>0.656</v>
      </c>
      <c r="M5" s="0" t="n">
        <v>-0.865</v>
      </c>
      <c r="N5" s="0" t="n">
        <v>-0.159</v>
      </c>
      <c r="O5" s="0" t="n">
        <v>0.38</v>
      </c>
      <c r="P5" s="0" t="n">
        <v>-169.609</v>
      </c>
      <c r="Q5" s="0" t="n">
        <v>0.012</v>
      </c>
      <c r="R5" s="0" t="n">
        <v>0.006</v>
      </c>
      <c r="S5" s="0" t="n">
        <v>0.026</v>
      </c>
      <c r="T5" s="0" t="n">
        <v>46.508</v>
      </c>
      <c r="U5" s="0" t="n">
        <v>45.999</v>
      </c>
      <c r="V5" s="0" t="n">
        <v>47.784</v>
      </c>
      <c r="W5" s="0" t="n">
        <v>0.817</v>
      </c>
      <c r="X5" s="0" t="n">
        <v>1.158</v>
      </c>
      <c r="Y5" s="0" t="n">
        <v>1.039</v>
      </c>
      <c r="Z5" s="0" t="n">
        <v>10.185</v>
      </c>
      <c r="AA5" s="0" t="n">
        <v>3.028</v>
      </c>
      <c r="AB5" s="0" t="n">
        <v>0.8604</v>
      </c>
      <c r="AC5" s="0" t="n">
        <v>0.0124951815713098</v>
      </c>
      <c r="AD5" s="0" t="n">
        <v>0.112465420846036</v>
      </c>
      <c r="AE5" s="0" t="n">
        <v>-0.1605125</v>
      </c>
      <c r="AF5" s="0" t="n">
        <v>0.00608399523724953</v>
      </c>
      <c r="AG5" s="0" t="n">
        <v>0.054760235445768</v>
      </c>
      <c r="AH5" s="0" t="n">
        <v>0.3838125</v>
      </c>
      <c r="AI5" s="0" t="n">
        <v>0.0260598955158472</v>
      </c>
      <c r="AJ5" s="0" t="n">
        <v>0.234557385154209</v>
      </c>
      <c r="AK5" s="0" t="n">
        <v>0.0353321606012658</v>
      </c>
      <c r="AL5" s="0" t="n">
        <v>0.00782357713607595</v>
      </c>
      <c r="AM5" s="0" t="n">
        <v>0.730390492359932</v>
      </c>
    </row>
    <row r="6" customFormat="false" ht="13.8" hidden="false" customHeight="false" outlineLevel="0" collapsed="false">
      <c r="A6" s="1" t="n">
        <v>4</v>
      </c>
      <c r="B6" s="0" t="n">
        <v>4</v>
      </c>
      <c r="C6" s="0" t="n">
        <v>4585738.496</v>
      </c>
      <c r="D6" s="0" t="n">
        <v>5350912.073</v>
      </c>
      <c r="E6" s="0" t="n">
        <v>373.444</v>
      </c>
      <c r="F6" s="0" t="n">
        <v>0.492</v>
      </c>
      <c r="G6" s="0" t="n">
        <v>0.343</v>
      </c>
      <c r="H6" s="0" t="n">
        <v>80</v>
      </c>
      <c r="I6" s="0" t="n">
        <v>0</v>
      </c>
      <c r="J6" s="0" t="n">
        <v>0</v>
      </c>
      <c r="K6" s="0" t="n">
        <v>1</v>
      </c>
      <c r="L6" s="0" t="n">
        <v>0.697</v>
      </c>
      <c r="M6" s="0" t="n">
        <v>-1.201</v>
      </c>
      <c r="N6" s="0" t="n">
        <v>-0.356</v>
      </c>
      <c r="O6" s="0" t="n">
        <v>1.17</v>
      </c>
      <c r="P6" s="0" t="n">
        <v>-163.479</v>
      </c>
      <c r="Q6" s="0" t="n">
        <v>0.011</v>
      </c>
      <c r="R6" s="0" t="n">
        <v>0.005</v>
      </c>
      <c r="S6" s="0" t="n">
        <v>0.025</v>
      </c>
      <c r="T6" s="0" t="n">
        <v>45.856</v>
      </c>
      <c r="U6" s="0" t="n">
        <v>45.437</v>
      </c>
      <c r="V6" s="0" t="n">
        <v>47.619</v>
      </c>
      <c r="W6" s="0" t="n">
        <v>0.99</v>
      </c>
      <c r="X6" s="0" t="n">
        <v>0.863</v>
      </c>
      <c r="Y6" s="0" t="n">
        <v>1.025</v>
      </c>
      <c r="Z6" s="0" t="n">
        <v>10.184</v>
      </c>
      <c r="AA6" s="0" t="n">
        <v>3.578</v>
      </c>
      <c r="AB6" s="0" t="n">
        <v>1.200575</v>
      </c>
      <c r="AC6" s="0" t="n">
        <v>0.0106009547771651</v>
      </c>
      <c r="AD6" s="0" t="n">
        <v>0.0954160476644193</v>
      </c>
      <c r="AE6" s="0" t="n">
        <v>-0.356025</v>
      </c>
      <c r="AF6" s="0" t="n">
        <v>0.00491140175382752</v>
      </c>
      <c r="AG6" s="0" t="n">
        <v>0.0442060695185455</v>
      </c>
      <c r="AH6" s="0" t="n">
        <v>1.16995</v>
      </c>
      <c r="AI6" s="0" t="n">
        <v>0.0248840806289885</v>
      </c>
      <c r="AJ6" s="0" t="n">
        <v>0.223974224330741</v>
      </c>
      <c r="AK6" s="0" t="n">
        <v>0.0306114259493671</v>
      </c>
      <c r="AL6" s="0" t="n">
        <v>0.00552919936708861</v>
      </c>
      <c r="AM6" s="0" t="n">
        <v>1.01916383701189</v>
      </c>
    </row>
    <row r="7" customFormat="false" ht="13.8" hidden="false" customHeight="false" outlineLevel="0" collapsed="false">
      <c r="A7" s="1" t="n">
        <v>5</v>
      </c>
      <c r="B7" s="0" t="n">
        <v>5</v>
      </c>
      <c r="C7" s="0" t="n">
        <v>4585738.862</v>
      </c>
      <c r="D7" s="0" t="n">
        <v>5350911.945</v>
      </c>
      <c r="E7" s="0" t="n">
        <v>373.452</v>
      </c>
      <c r="F7" s="0" t="n">
        <v>0.488</v>
      </c>
      <c r="G7" s="0" t="n">
        <v>0.361</v>
      </c>
      <c r="H7" s="0" t="n">
        <v>80</v>
      </c>
      <c r="I7" s="0" t="n">
        <v>3</v>
      </c>
      <c r="J7" s="0" t="n">
        <v>0.1</v>
      </c>
      <c r="K7" s="0" t="n">
        <v>1</v>
      </c>
      <c r="L7" s="0" t="n">
        <v>0.74</v>
      </c>
      <c r="M7" s="0" t="n">
        <v>-0.641</v>
      </c>
      <c r="N7" s="0" t="n">
        <v>-0.401</v>
      </c>
      <c r="O7" s="0" t="n">
        <v>1.853</v>
      </c>
      <c r="P7" s="0" t="n">
        <v>-147.958</v>
      </c>
      <c r="Q7" s="0" t="n">
        <v>0.02</v>
      </c>
      <c r="R7" s="0" t="n">
        <v>0.012</v>
      </c>
      <c r="S7" s="0" t="n">
        <v>0.06</v>
      </c>
      <c r="T7" s="0" t="n">
        <v>48.227</v>
      </c>
      <c r="U7" s="0" t="n">
        <v>48.154</v>
      </c>
      <c r="V7" s="0" t="n">
        <v>50.008</v>
      </c>
      <c r="W7" s="0" t="n">
        <v>2.359</v>
      </c>
      <c r="X7" s="0" t="n">
        <v>2.14</v>
      </c>
      <c r="Y7" s="0" t="n">
        <v>2.481</v>
      </c>
      <c r="Z7" s="0" t="n">
        <v>10.11</v>
      </c>
      <c r="AA7" s="0" t="n">
        <v>2.34</v>
      </c>
      <c r="AB7" s="0" t="n">
        <v>0.6114125</v>
      </c>
      <c r="AC7" s="0" t="n">
        <v>0.0253626860130562</v>
      </c>
      <c r="AD7" s="0" t="n">
        <v>0.228282009346201</v>
      </c>
      <c r="AE7" s="0" t="n">
        <v>-0.39965</v>
      </c>
      <c r="AF7" s="0" t="n">
        <v>0.0116351179087279</v>
      </c>
      <c r="AG7" s="0" t="n">
        <v>0.104724243079659</v>
      </c>
      <c r="AH7" s="0" t="n">
        <v>1.8448625</v>
      </c>
      <c r="AI7" s="0" t="n">
        <v>0.0582751333754104</v>
      </c>
      <c r="AJ7" s="0" t="n">
        <v>0.524517179884197</v>
      </c>
      <c r="AK7" s="0" t="n">
        <v>0.169099057436709</v>
      </c>
      <c r="AL7" s="0" t="n">
        <v>0.0315399214398734</v>
      </c>
      <c r="AM7" s="0" t="n">
        <v>0.519025891341256</v>
      </c>
    </row>
    <row r="8" customFormat="false" ht="13.8" hidden="false" customHeight="false" outlineLevel="0" collapsed="false">
      <c r="A8" s="1" t="n">
        <v>6</v>
      </c>
      <c r="B8" s="0" t="n">
        <v>6</v>
      </c>
      <c r="C8" s="2" t="n">
        <v>4585738.852</v>
      </c>
      <c r="D8" s="2" t="n">
        <v>5350911.045</v>
      </c>
      <c r="E8" s="2" t="n">
        <v>373.455</v>
      </c>
      <c r="F8" s="0" t="n">
        <v>0.47</v>
      </c>
      <c r="G8" s="0" t="n">
        <v>0.284</v>
      </c>
      <c r="H8" s="0" t="n">
        <v>80</v>
      </c>
      <c r="I8" s="0" t="n">
        <v>0</v>
      </c>
      <c r="J8" s="0" t="n">
        <v>0.1</v>
      </c>
      <c r="K8" s="0" t="n">
        <v>0.9</v>
      </c>
      <c r="L8" s="0" t="n">
        <v>0.604</v>
      </c>
      <c r="M8" s="0" t="n">
        <v>-0.465</v>
      </c>
      <c r="N8" s="0" t="n">
        <v>-0.177</v>
      </c>
      <c r="O8" s="0" t="n">
        <v>0.977</v>
      </c>
      <c r="P8" s="0" t="n">
        <v>-159.139</v>
      </c>
      <c r="Q8" s="0" t="n">
        <v>0.035</v>
      </c>
      <c r="R8" s="0" t="n">
        <v>0.024</v>
      </c>
      <c r="S8" s="0" t="n">
        <v>0.106</v>
      </c>
      <c r="T8" s="0" t="n">
        <v>46.512</v>
      </c>
      <c r="U8" s="0" t="n">
        <v>46.292</v>
      </c>
      <c r="V8" s="0" t="n">
        <v>48.302</v>
      </c>
      <c r="W8" s="0" t="n">
        <v>1.197</v>
      </c>
      <c r="X8" s="0" t="n">
        <v>0.988</v>
      </c>
      <c r="Y8" s="0" t="n">
        <v>1.091</v>
      </c>
      <c r="Z8" s="0" t="n">
        <v>10.073</v>
      </c>
      <c r="AA8" s="0" t="n">
        <v>2.343</v>
      </c>
      <c r="AB8" s="0" t="n">
        <v>0.4650625</v>
      </c>
      <c r="AC8" s="0" t="n">
        <v>0.0348494814512623</v>
      </c>
      <c r="AD8" s="0" t="n">
        <v>0.313669839474889</v>
      </c>
      <c r="AE8" s="0" t="n">
        <v>-0.1772125</v>
      </c>
      <c r="AF8" s="0" t="n">
        <v>0.0234519834832126</v>
      </c>
      <c r="AG8" s="0" t="n">
        <v>0.211084342957435</v>
      </c>
      <c r="AH8" s="0" t="n">
        <v>0.9767375</v>
      </c>
      <c r="AI8" s="0" t="n">
        <v>0.105171209736419</v>
      </c>
      <c r="AJ8" s="0" t="n">
        <v>0.946614844801588</v>
      </c>
      <c r="AK8" s="0" t="n">
        <v>0.519512516218355</v>
      </c>
      <c r="AL8" s="0" t="n">
        <v>0.0714726840189874</v>
      </c>
      <c r="AM8" s="0" t="n">
        <v>0.394789898132428</v>
      </c>
    </row>
    <row r="9" customFormat="false" ht="13.8" hidden="false" customHeight="false" outlineLevel="0" collapsed="false">
      <c r="A9" s="1" t="n">
        <v>7</v>
      </c>
      <c r="B9" s="0" t="n">
        <v>7</v>
      </c>
      <c r="C9" s="0" t="n">
        <v>4585738.555</v>
      </c>
      <c r="D9" s="0" t="n">
        <v>5350912.773</v>
      </c>
      <c r="E9" s="0" t="n">
        <v>373.556</v>
      </c>
      <c r="F9" s="0" t="n">
        <v>0.444</v>
      </c>
      <c r="G9" s="0" t="n">
        <v>0.278</v>
      </c>
      <c r="H9" s="0" t="n">
        <v>80</v>
      </c>
      <c r="I9" s="0" t="n">
        <v>0</v>
      </c>
      <c r="J9" s="0" t="n">
        <v>0</v>
      </c>
      <c r="K9" s="0" t="n">
        <v>1.1</v>
      </c>
      <c r="L9" s="0" t="n">
        <v>0.626</v>
      </c>
      <c r="M9" s="0" t="n">
        <v>-0.851</v>
      </c>
      <c r="N9" s="0" t="n">
        <v>-0.475</v>
      </c>
      <c r="O9" s="0" t="n">
        <v>1.847</v>
      </c>
      <c r="P9" s="0" t="n">
        <v>-150.805</v>
      </c>
      <c r="Q9" s="0" t="n">
        <v>0.011</v>
      </c>
      <c r="R9" s="0" t="n">
        <v>0.006</v>
      </c>
      <c r="S9" s="0" t="n">
        <v>0.027</v>
      </c>
      <c r="T9" s="0" t="n">
        <v>44.959</v>
      </c>
      <c r="U9" s="0" t="n">
        <v>44.239</v>
      </c>
      <c r="V9" s="0" t="n">
        <v>46.449</v>
      </c>
      <c r="W9" s="0" t="n">
        <v>1.108</v>
      </c>
      <c r="X9" s="0" t="n">
        <v>1.077</v>
      </c>
      <c r="Y9" s="0" t="n">
        <v>1.112</v>
      </c>
      <c r="Z9" s="0" t="n">
        <v>10.068</v>
      </c>
      <c r="AA9" s="0" t="n">
        <v>2.645</v>
      </c>
      <c r="AB9" s="0" t="n">
        <v>0.850725</v>
      </c>
      <c r="AC9" s="0" t="n">
        <v>0.0114002052476041</v>
      </c>
      <c r="AD9" s="0" t="n">
        <v>0.102609863937222</v>
      </c>
      <c r="AE9" s="0" t="n">
        <v>-0.475425</v>
      </c>
      <c r="AF9" s="0" t="n">
        <v>0.0064320917816446</v>
      </c>
      <c r="AG9" s="0" t="n">
        <v>0.0578933491293924</v>
      </c>
      <c r="AH9" s="0" t="n">
        <v>1.8471375</v>
      </c>
      <c r="AI9" s="0" t="n">
        <v>0.0266333187928556</v>
      </c>
      <c r="AJ9" s="0" t="n">
        <v>0.23971859788278</v>
      </c>
      <c r="AK9" s="0" t="n">
        <v>0.0356727151107595</v>
      </c>
      <c r="AL9" s="0" t="n">
        <v>0.00694021202531645</v>
      </c>
      <c r="AM9" s="0" t="n">
        <v>0.722177419354839</v>
      </c>
    </row>
    <row r="10" customFormat="false" ht="13.8" hidden="false" customHeight="false" outlineLevel="0" collapsed="false">
      <c r="A10" s="1" t="n">
        <v>8</v>
      </c>
      <c r="B10" s="0" t="n">
        <v>8</v>
      </c>
      <c r="C10" s="0" t="n">
        <v>4585738.279</v>
      </c>
      <c r="D10" s="0" t="n">
        <v>5350913.726</v>
      </c>
      <c r="E10" s="0" t="n">
        <v>373.738</v>
      </c>
      <c r="F10" s="0" t="n">
        <v>0.456</v>
      </c>
      <c r="G10" s="0" t="n">
        <v>0.219</v>
      </c>
      <c r="H10" s="0" t="n">
        <v>80</v>
      </c>
      <c r="I10" s="0" t="n">
        <v>1</v>
      </c>
      <c r="J10" s="0" t="n">
        <v>0</v>
      </c>
      <c r="K10" s="0" t="n">
        <v>1.2</v>
      </c>
      <c r="L10" s="0" t="n">
        <v>0.48</v>
      </c>
      <c r="M10" s="0" t="n">
        <v>-0.913</v>
      </c>
      <c r="N10" s="0" t="n">
        <v>-0.422</v>
      </c>
      <c r="O10" s="0" t="n">
        <v>1.629</v>
      </c>
      <c r="P10" s="0" t="n">
        <v>-155.206</v>
      </c>
      <c r="Q10" s="0" t="n">
        <v>0.011</v>
      </c>
      <c r="R10" s="0" t="n">
        <v>0.007</v>
      </c>
      <c r="S10" s="0" t="n">
        <v>0.032</v>
      </c>
      <c r="T10" s="0" t="n">
        <v>44.772</v>
      </c>
      <c r="U10" s="0" t="n">
        <v>44.437</v>
      </c>
      <c r="V10" s="0" t="n">
        <v>46.707</v>
      </c>
      <c r="W10" s="0" t="n">
        <v>0.75</v>
      </c>
      <c r="X10" s="0" t="n">
        <v>0.908</v>
      </c>
      <c r="Y10" s="0" t="n">
        <v>0.93</v>
      </c>
      <c r="Z10" s="0" t="n">
        <v>10.035</v>
      </c>
      <c r="AA10" s="0" t="n">
        <v>2.557</v>
      </c>
      <c r="AB10" s="0" t="n">
        <v>0.9091625</v>
      </c>
      <c r="AC10" s="0" t="n">
        <v>0.0110677663135736</v>
      </c>
      <c r="AD10" s="0" t="n">
        <v>0.0996176797574264</v>
      </c>
      <c r="AE10" s="0" t="n">
        <v>-0.42325</v>
      </c>
      <c r="AF10" s="0" t="n">
        <v>0.00735602431684398</v>
      </c>
      <c r="AG10" s="0" t="n">
        <v>0.0662093916623903</v>
      </c>
      <c r="AH10" s="0" t="n">
        <v>1.634325</v>
      </c>
      <c r="AI10" s="0" t="n">
        <v>0.0314189272921196</v>
      </c>
      <c r="AJ10" s="0" t="n">
        <v>0.282792439651506</v>
      </c>
      <c r="AK10" s="0" t="n">
        <v>0.0471394647943038</v>
      </c>
      <c r="AL10" s="0" t="n">
        <v>0.00715368283227848</v>
      </c>
      <c r="AM10" s="0" t="n">
        <v>0.77178480475382</v>
      </c>
    </row>
    <row r="11" customFormat="false" ht="13.8" hidden="false" customHeight="false" outlineLevel="0" collapsed="false">
      <c r="A11" s="1" t="n">
        <v>9</v>
      </c>
      <c r="B11" s="0" t="n">
        <v>9</v>
      </c>
      <c r="C11" s="0" t="n">
        <v>4585738.816</v>
      </c>
      <c r="D11" s="0" t="n">
        <v>5350909.8</v>
      </c>
      <c r="E11" s="0" t="n">
        <v>373.465</v>
      </c>
      <c r="F11" s="0" t="n">
        <v>0.38</v>
      </c>
      <c r="G11" s="0" t="n">
        <v>0.295</v>
      </c>
      <c r="H11" s="0" t="n">
        <v>80</v>
      </c>
      <c r="I11" s="0" t="n">
        <v>5</v>
      </c>
      <c r="J11" s="0" t="n">
        <v>0.1</v>
      </c>
      <c r="K11" s="0" t="n">
        <v>0.5</v>
      </c>
      <c r="L11" s="0" t="n">
        <v>0.777</v>
      </c>
      <c r="M11" s="0" t="n">
        <v>0.018</v>
      </c>
      <c r="N11" s="0" t="n">
        <v>-0.069</v>
      </c>
      <c r="O11" s="0" t="n">
        <v>0.337</v>
      </c>
      <c r="P11" s="0" t="n">
        <v>-75.11</v>
      </c>
      <c r="Q11" s="0" t="n">
        <v>0.021</v>
      </c>
      <c r="R11" s="0" t="n">
        <v>0.014</v>
      </c>
      <c r="S11" s="0" t="n">
        <v>0.058</v>
      </c>
      <c r="T11" s="0" t="n">
        <v>46.325</v>
      </c>
      <c r="U11" s="0" t="n">
        <v>45.549</v>
      </c>
      <c r="V11" s="0" t="n">
        <v>48.599</v>
      </c>
      <c r="W11" s="0" t="n">
        <v>1.301</v>
      </c>
      <c r="X11" s="0" t="n">
        <v>1.214</v>
      </c>
      <c r="Y11" s="0" t="n">
        <v>1.579</v>
      </c>
      <c r="Z11" s="0" t="n">
        <v>10.035</v>
      </c>
      <c r="AA11" s="0" t="n">
        <v>1.82</v>
      </c>
      <c r="AB11" s="0" t="n">
        <v>0.010925</v>
      </c>
      <c r="AC11" s="0" t="n">
        <v>0.0263378991130177</v>
      </c>
      <c r="AD11" s="0" t="n">
        <v>0.237059613022932</v>
      </c>
      <c r="AE11" s="0" t="n">
        <v>-0.08555</v>
      </c>
      <c r="AF11" s="0" t="n">
        <v>0.0153439208238964</v>
      </c>
      <c r="AG11" s="0" t="n">
        <v>0.138106077373861</v>
      </c>
      <c r="AH11" s="0" t="n">
        <v>0.412175</v>
      </c>
      <c r="AI11" s="0" t="n">
        <v>0.0655945066654785</v>
      </c>
      <c r="AJ11" s="0" t="n">
        <v>0.59039668653233</v>
      </c>
      <c r="AK11" s="0" t="n">
        <v>0.211919398101266</v>
      </c>
      <c r="AL11" s="0" t="n">
        <v>0.0376352743670886</v>
      </c>
      <c r="AM11" s="0" t="n">
        <v>0.0092741935483871</v>
      </c>
    </row>
    <row r="12" customFormat="false" ht="13.8" hidden="false" customHeight="false" outlineLevel="0" collapsed="false">
      <c r="A12" s="1" t="n">
        <v>10</v>
      </c>
      <c r="B12" s="0" t="n">
        <v>10</v>
      </c>
      <c r="C12" s="0" t="n">
        <v>4585738.688</v>
      </c>
      <c r="D12" s="0" t="n">
        <v>5350908.082</v>
      </c>
      <c r="E12" s="0" t="n">
        <v>373.76</v>
      </c>
      <c r="F12" s="0" t="n">
        <v>0.481</v>
      </c>
      <c r="G12" s="0" t="n">
        <v>0.14</v>
      </c>
      <c r="H12" s="0" t="n">
        <v>80</v>
      </c>
      <c r="I12" s="0" t="n">
        <v>1</v>
      </c>
      <c r="J12" s="0" t="n">
        <v>0.1</v>
      </c>
      <c r="K12" s="0" t="n">
        <v>0</v>
      </c>
      <c r="L12" s="0" t="n">
        <v>0.291</v>
      </c>
      <c r="M12" s="0" t="n">
        <v>-0.025</v>
      </c>
      <c r="N12" s="0" t="n">
        <v>-0.02</v>
      </c>
      <c r="O12" s="0" t="n">
        <v>0.09</v>
      </c>
      <c r="P12" s="0" t="n">
        <v>-141.511</v>
      </c>
      <c r="Q12" s="0" t="n">
        <v>0.007</v>
      </c>
      <c r="R12" s="0" t="n">
        <v>0.007</v>
      </c>
      <c r="S12" s="0" t="n">
        <v>0.027</v>
      </c>
      <c r="T12" s="0" t="n">
        <v>42.588</v>
      </c>
      <c r="U12" s="0" t="n">
        <v>42.004</v>
      </c>
      <c r="V12" s="0" t="n">
        <v>44.166</v>
      </c>
      <c r="W12" s="0" t="n">
        <v>1.435</v>
      </c>
      <c r="X12" s="0" t="n">
        <v>1.566</v>
      </c>
      <c r="Y12" s="0" t="n">
        <v>1.458</v>
      </c>
      <c r="Z12" s="0" t="n">
        <v>10.059</v>
      </c>
      <c r="AA12" s="0" t="n">
        <v>2.672</v>
      </c>
      <c r="AB12" s="0" t="n">
        <v>0.0287375</v>
      </c>
      <c r="AC12" s="0" t="n">
        <v>0.00751302501805198</v>
      </c>
      <c r="AD12" s="0" t="n">
        <v>0.0676225083773185</v>
      </c>
      <c r="AE12" s="0" t="n">
        <v>-0.0183</v>
      </c>
      <c r="AF12" s="0" t="n">
        <v>0.0073237712279945</v>
      </c>
      <c r="AG12" s="0" t="n">
        <v>0.0659190911821339</v>
      </c>
      <c r="AH12" s="0" t="n">
        <v>0.0898125</v>
      </c>
      <c r="AI12" s="0" t="n">
        <v>0.026753808687678</v>
      </c>
      <c r="AJ12" s="0" t="n">
        <v>0.240803091665568</v>
      </c>
      <c r="AK12" s="0" t="n">
        <v>0.0334521295886076</v>
      </c>
      <c r="AL12" s="0" t="n">
        <v>0.00445906511075949</v>
      </c>
      <c r="AM12" s="0" t="n">
        <v>0.0243951612903226</v>
      </c>
    </row>
    <row r="13" customFormat="false" ht="13.8" hidden="false" customHeight="false" outlineLevel="0" collapsed="false">
      <c r="A13" s="1" t="n">
        <v>11</v>
      </c>
      <c r="B13" s="0" t="n">
        <v>11</v>
      </c>
      <c r="C13" s="0" t="n">
        <v>4585728.986</v>
      </c>
      <c r="D13" s="0" t="n">
        <v>5350908.914</v>
      </c>
      <c r="E13" s="0" t="n">
        <v>373.828</v>
      </c>
      <c r="F13" s="0" t="n">
        <v>0.485</v>
      </c>
      <c r="G13" s="0" t="n">
        <v>0.172</v>
      </c>
      <c r="H13" s="0" t="n">
        <v>80</v>
      </c>
      <c r="I13" s="0" t="n">
        <v>1</v>
      </c>
      <c r="J13" s="0" t="n">
        <v>-2</v>
      </c>
      <c r="K13" s="0" t="n">
        <v>0.5</v>
      </c>
      <c r="L13" s="0" t="n">
        <v>0.355</v>
      </c>
      <c r="M13" s="0" t="n">
        <v>0.773</v>
      </c>
      <c r="N13" s="0" t="n">
        <v>-0.272</v>
      </c>
      <c r="O13" s="0" t="n">
        <v>1.041</v>
      </c>
      <c r="P13" s="0" t="n">
        <v>-19.406</v>
      </c>
      <c r="Q13" s="0" t="n">
        <v>0.012</v>
      </c>
      <c r="R13" s="0" t="n">
        <v>0.006</v>
      </c>
      <c r="S13" s="0" t="n">
        <v>0.024</v>
      </c>
      <c r="T13" s="0" t="n">
        <v>47.314</v>
      </c>
      <c r="U13" s="0" t="n">
        <v>46.405</v>
      </c>
      <c r="V13" s="0" t="n">
        <v>48.919</v>
      </c>
      <c r="W13" s="0" t="n">
        <v>1.119</v>
      </c>
      <c r="X13" s="0" t="n">
        <v>1.185</v>
      </c>
      <c r="Y13" s="0" t="n">
        <v>1.091</v>
      </c>
      <c r="Z13" s="0" t="n">
        <v>9.903</v>
      </c>
      <c r="AA13" s="0" t="n">
        <v>2.525</v>
      </c>
      <c r="AB13" s="0" t="n">
        <v>0.770225</v>
      </c>
      <c r="AC13" s="0" t="n">
        <v>0.012353579630516</v>
      </c>
      <c r="AD13" s="0" t="n">
        <v>0.111190903803358</v>
      </c>
      <c r="AE13" s="0" t="n">
        <v>-0.27185</v>
      </c>
      <c r="AF13" s="0" t="n">
        <v>0.00544090697862038</v>
      </c>
      <c r="AG13" s="0" t="n">
        <v>0.0489719888936781</v>
      </c>
      <c r="AH13" s="0" t="n">
        <v>1.03265</v>
      </c>
      <c r="AI13" s="0" t="n">
        <v>0.0248021615741451</v>
      </c>
      <c r="AJ13" s="0" t="n">
        <v>0.223236895231064</v>
      </c>
      <c r="AK13" s="0" t="n">
        <v>0.0322981920886076</v>
      </c>
      <c r="AL13" s="0" t="n">
        <v>0.00738083639240506</v>
      </c>
      <c r="AM13" s="0" t="n">
        <v>0.653841256366723</v>
      </c>
    </row>
    <row r="14" customFormat="false" ht="13.8" hidden="false" customHeight="false" outlineLevel="0" collapsed="false">
      <c r="A14" s="1" t="n">
        <v>12</v>
      </c>
      <c r="B14" s="0" t="n">
        <v>12</v>
      </c>
      <c r="C14" s="0" t="n">
        <v>4585733.54</v>
      </c>
      <c r="D14" s="0" t="n">
        <v>5350909.628</v>
      </c>
      <c r="E14" s="0" t="n">
        <v>373.781</v>
      </c>
      <c r="F14" s="0" t="n">
        <v>0.516</v>
      </c>
      <c r="G14" s="0" t="n">
        <v>0.225</v>
      </c>
      <c r="H14" s="0" t="n">
        <v>80</v>
      </c>
      <c r="I14" s="0" t="n">
        <v>3</v>
      </c>
      <c r="J14" s="0" t="n">
        <v>-1</v>
      </c>
      <c r="K14" s="0" t="n">
        <v>0.5</v>
      </c>
      <c r="L14" s="0" t="n">
        <v>0.436</v>
      </c>
      <c r="M14" s="0" t="n">
        <v>0.975</v>
      </c>
      <c r="N14" s="0" t="n">
        <v>-0.124</v>
      </c>
      <c r="O14" s="0" t="n">
        <v>0.393</v>
      </c>
      <c r="P14" s="0" t="n">
        <v>-7.244</v>
      </c>
      <c r="Q14" s="0" t="n">
        <v>0.009</v>
      </c>
      <c r="R14" s="0" t="n">
        <v>0.005</v>
      </c>
      <c r="S14" s="0" t="n">
        <v>0.023</v>
      </c>
      <c r="T14" s="0" t="n">
        <v>46.433</v>
      </c>
      <c r="U14" s="0" t="n">
        <v>46.167</v>
      </c>
      <c r="V14" s="0" t="n">
        <v>48.119</v>
      </c>
      <c r="W14" s="0" t="n">
        <v>0.981</v>
      </c>
      <c r="X14" s="0" t="n">
        <v>0.974</v>
      </c>
      <c r="Y14" s="0" t="n">
        <v>1.064</v>
      </c>
      <c r="Z14" s="0" t="n">
        <v>9.885</v>
      </c>
      <c r="AA14" s="0" t="n">
        <v>1.306</v>
      </c>
      <c r="AB14" s="0" t="n">
        <v>0.978325</v>
      </c>
      <c r="AC14" s="0" t="n">
        <v>0.0111850734100184</v>
      </c>
      <c r="AD14" s="0" t="n">
        <v>0.100673526116648</v>
      </c>
      <c r="AE14" s="0" t="n">
        <v>-0.1238875</v>
      </c>
      <c r="AF14" s="0" t="n">
        <v>0.00520528558744619</v>
      </c>
      <c r="AG14" s="0" t="n">
        <v>0.0468512306824025</v>
      </c>
      <c r="AH14" s="0" t="n">
        <v>0.38665</v>
      </c>
      <c r="AI14" s="0" t="n">
        <v>0.0227130819958455</v>
      </c>
      <c r="AJ14" s="0" t="n">
        <v>0.204433709970132</v>
      </c>
      <c r="AK14" s="0" t="n">
        <v>0.0270616692246835</v>
      </c>
      <c r="AL14" s="0" t="n">
        <v>0.0061650983386076</v>
      </c>
      <c r="AM14" s="0" t="n">
        <v>0.830496604414261</v>
      </c>
    </row>
    <row r="15" customFormat="false" ht="13.8" hidden="false" customHeight="false" outlineLevel="0" collapsed="false">
      <c r="A15" s="1" t="n">
        <v>13</v>
      </c>
      <c r="B15" s="0" t="n">
        <v>13</v>
      </c>
      <c r="C15" s="0" t="n">
        <v>4585733.214</v>
      </c>
      <c r="D15" s="0" t="n">
        <v>5350911.356</v>
      </c>
      <c r="E15" s="0" t="n">
        <v>373.687</v>
      </c>
      <c r="F15" s="0" t="n">
        <v>0.485</v>
      </c>
      <c r="G15" s="0" t="n">
        <v>0.256</v>
      </c>
      <c r="H15" s="0" t="n">
        <v>80</v>
      </c>
      <c r="I15" s="0" t="n">
        <v>0</v>
      </c>
      <c r="J15" s="0" t="n">
        <v>-1</v>
      </c>
      <c r="K15" s="0" t="n">
        <v>1</v>
      </c>
      <c r="L15" s="0" t="n">
        <v>0.528</v>
      </c>
      <c r="M15" s="0" t="n">
        <v>0.957</v>
      </c>
      <c r="N15" s="0" t="n">
        <v>0.002</v>
      </c>
      <c r="O15" s="0" t="n">
        <v>-0.091</v>
      </c>
      <c r="P15" s="0" t="n">
        <v>0.114</v>
      </c>
      <c r="Q15" s="0" t="n">
        <v>0.018</v>
      </c>
      <c r="R15" s="0" t="n">
        <v>0.009</v>
      </c>
      <c r="S15" s="0" t="n">
        <v>0.038</v>
      </c>
      <c r="T15" s="0" t="n">
        <v>45.199</v>
      </c>
      <c r="U15" s="0" t="n">
        <v>44.672</v>
      </c>
      <c r="V15" s="0" t="n">
        <v>46.628</v>
      </c>
      <c r="W15" s="0" t="n">
        <v>0.959</v>
      </c>
      <c r="X15" s="0" t="n">
        <v>0.968</v>
      </c>
      <c r="Y15" s="0" t="n">
        <v>1.079</v>
      </c>
      <c r="Z15" s="0" t="n">
        <v>9.85</v>
      </c>
      <c r="AA15" s="0" t="n">
        <v>1.854</v>
      </c>
      <c r="AB15" s="0" t="n">
        <v>0.9568375</v>
      </c>
      <c r="AC15" s="0" t="n">
        <v>0.0177752851924203</v>
      </c>
      <c r="AD15" s="0" t="n">
        <v>0.159990066444012</v>
      </c>
      <c r="AE15" s="0" t="n">
        <v>0.001875</v>
      </c>
      <c r="AF15" s="0" t="n">
        <v>0.00881568869615415</v>
      </c>
      <c r="AG15" s="0" t="n">
        <v>0.0793473975229868</v>
      </c>
      <c r="AH15" s="0" t="n">
        <v>-0.0910375</v>
      </c>
      <c r="AI15" s="0" t="n">
        <v>0.0378418107213684</v>
      </c>
      <c r="AJ15" s="0" t="n">
        <v>0.340602907133954</v>
      </c>
      <c r="AK15" s="0" t="n">
        <v>0.0739515856012658</v>
      </c>
      <c r="AL15" s="0" t="n">
        <v>0.0159464154272152</v>
      </c>
      <c r="AM15" s="0" t="n">
        <v>0.812255942275042</v>
      </c>
    </row>
    <row r="16" customFormat="false" ht="13.8" hidden="false" customHeight="false" outlineLevel="0" collapsed="false">
      <c r="A16" s="1" t="n">
        <v>14</v>
      </c>
      <c r="B16" s="0" t="n">
        <v>14</v>
      </c>
      <c r="C16" s="2" t="n">
        <v>4585743.882</v>
      </c>
      <c r="D16" s="2" t="n">
        <v>5350908.175</v>
      </c>
      <c r="E16" s="2" t="n">
        <v>374.054</v>
      </c>
      <c r="F16" s="0" t="n">
        <v>0.676</v>
      </c>
      <c r="G16" s="0" t="n">
        <v>0.096</v>
      </c>
      <c r="H16" s="0" t="n">
        <v>80</v>
      </c>
      <c r="I16" s="0" t="n">
        <v>0</v>
      </c>
      <c r="J16" s="0" t="n">
        <v>1</v>
      </c>
      <c r="K16" s="0" t="n">
        <v>0</v>
      </c>
      <c r="L16" s="0" t="n">
        <v>0.142</v>
      </c>
      <c r="M16" s="0" t="n">
        <v>0.519</v>
      </c>
      <c r="N16" s="0" t="n">
        <v>0.016</v>
      </c>
      <c r="O16" s="0" t="n">
        <v>-0.077</v>
      </c>
      <c r="P16" s="0" t="n">
        <v>1.745</v>
      </c>
      <c r="Q16" s="0" t="n">
        <v>0.007</v>
      </c>
      <c r="R16" s="0" t="n">
        <v>0.003</v>
      </c>
      <c r="S16" s="0" t="n">
        <v>0.015</v>
      </c>
      <c r="T16" s="0" t="n">
        <v>47.839</v>
      </c>
      <c r="U16" s="0" t="n">
        <v>47.232</v>
      </c>
      <c r="V16" s="0" t="n">
        <v>49.096</v>
      </c>
      <c r="W16" s="0" t="n">
        <v>3.52</v>
      </c>
      <c r="X16" s="0" t="n">
        <v>3.537</v>
      </c>
      <c r="Y16" s="0" t="n">
        <v>3.639</v>
      </c>
      <c r="Z16" s="0" t="n">
        <v>9.923</v>
      </c>
      <c r="AA16" s="0" t="n">
        <v>0.485</v>
      </c>
      <c r="AB16" s="0" t="n">
        <v>0.5186875</v>
      </c>
      <c r="AC16" s="0" t="n">
        <v>0.00720586986746742</v>
      </c>
      <c r="AD16" s="0" t="n">
        <v>0.0648578960282801</v>
      </c>
      <c r="AE16" s="0" t="n">
        <v>0.0158125</v>
      </c>
      <c r="AF16" s="0" t="n">
        <v>0.0033131883129208</v>
      </c>
      <c r="AG16" s="0" t="n">
        <v>0.0298210246748536</v>
      </c>
      <c r="AH16" s="0" t="n">
        <v>-0.07705</v>
      </c>
      <c r="AI16" s="0" t="n">
        <v>0.0153514647102483</v>
      </c>
      <c r="AJ16" s="0" t="n">
        <v>0.138173977655946</v>
      </c>
      <c r="AK16" s="0" t="n">
        <v>0.0120939441455696</v>
      </c>
      <c r="AL16" s="0" t="n">
        <v>0.00254792009493671</v>
      </c>
      <c r="AM16" s="0" t="n">
        <v>0.440311969439728</v>
      </c>
    </row>
    <row r="17" customFormat="false" ht="13.8" hidden="false" customHeight="false" outlineLevel="0" collapsed="false">
      <c r="A17" s="1" t="n">
        <v>15</v>
      </c>
      <c r="B17" s="0" t="n">
        <v>15</v>
      </c>
      <c r="C17" s="0" t="n">
        <v>4585743.674</v>
      </c>
      <c r="D17" s="0" t="n">
        <v>5350910.347</v>
      </c>
      <c r="E17" s="0" t="n">
        <v>373.893</v>
      </c>
      <c r="F17" s="0" t="n">
        <v>0.485</v>
      </c>
      <c r="G17" s="0" t="n">
        <v>0.131</v>
      </c>
      <c r="H17" s="0" t="n">
        <v>80</v>
      </c>
      <c r="I17" s="0" t="n">
        <v>0</v>
      </c>
      <c r="J17" s="0" t="n">
        <v>1</v>
      </c>
      <c r="K17" s="0" t="n">
        <v>0.5</v>
      </c>
      <c r="L17" s="0" t="n">
        <v>0.27</v>
      </c>
      <c r="M17" s="0" t="n">
        <v>0.649</v>
      </c>
      <c r="N17" s="0" t="n">
        <v>-0.062</v>
      </c>
      <c r="O17" s="0" t="n">
        <v>0.199</v>
      </c>
      <c r="P17" s="0" t="n">
        <v>-5.499</v>
      </c>
      <c r="Q17" s="0" t="n">
        <v>0.005</v>
      </c>
      <c r="R17" s="0" t="n">
        <v>0.003</v>
      </c>
      <c r="S17" s="0" t="n">
        <v>0.016</v>
      </c>
      <c r="T17" s="0" t="n">
        <v>48.898</v>
      </c>
      <c r="U17" s="0" t="n">
        <v>48.408</v>
      </c>
      <c r="V17" s="0" t="n">
        <v>50.853</v>
      </c>
      <c r="W17" s="0" t="n">
        <v>1.158</v>
      </c>
      <c r="X17" s="0" t="n">
        <v>1.079</v>
      </c>
      <c r="Y17" s="0" t="n">
        <v>1.23</v>
      </c>
      <c r="Z17" s="0" t="n">
        <v>9.848</v>
      </c>
      <c r="AA17" s="0" t="n">
        <v>2.295</v>
      </c>
      <c r="AB17" s="0" t="n">
        <v>0.648725</v>
      </c>
      <c r="AC17" s="0" t="n">
        <v>0.00531413136716623</v>
      </c>
      <c r="AD17" s="0" t="n">
        <v>0.0478309192410415</v>
      </c>
      <c r="AE17" s="0" t="n">
        <v>-0.0624</v>
      </c>
      <c r="AF17" s="0" t="n">
        <v>0.00324439901984944</v>
      </c>
      <c r="AG17" s="0" t="n">
        <v>0.0292018726640708</v>
      </c>
      <c r="AH17" s="0" t="n">
        <v>0.1990875</v>
      </c>
      <c r="AI17" s="0" t="n">
        <v>0.0155397393172111</v>
      </c>
      <c r="AJ17" s="0" t="n">
        <v>0.139868581514709</v>
      </c>
      <c r="AK17" s="0" t="n">
        <v>0.0113518831487342</v>
      </c>
      <c r="AL17" s="0" t="n">
        <v>0.00157027310126582</v>
      </c>
      <c r="AM17" s="0" t="n">
        <v>0.550700339558574</v>
      </c>
    </row>
    <row r="18" customFormat="false" ht="13.8" hidden="false" customHeight="false" outlineLevel="0" collapsed="false">
      <c r="A18" s="1" t="n">
        <v>16</v>
      </c>
      <c r="B18" s="0" t="n">
        <v>16</v>
      </c>
      <c r="C18" s="0" t="n">
        <v>4585743.295</v>
      </c>
      <c r="D18" s="0" t="n">
        <v>5350912.311</v>
      </c>
      <c r="E18" s="0" t="n">
        <v>373.845</v>
      </c>
      <c r="F18" s="0" t="n">
        <v>0.466</v>
      </c>
      <c r="G18" s="0" t="n">
        <v>0.146</v>
      </c>
      <c r="H18" s="0" t="n">
        <v>80</v>
      </c>
      <c r="I18" s="0" t="n">
        <v>0</v>
      </c>
      <c r="J18" s="0" t="n">
        <v>1</v>
      </c>
      <c r="K18" s="0" t="n">
        <v>1</v>
      </c>
      <c r="L18" s="0" t="n">
        <v>0.313</v>
      </c>
      <c r="M18" s="0" t="n">
        <v>0.767</v>
      </c>
      <c r="N18" s="0" t="n">
        <v>-0.009</v>
      </c>
      <c r="O18" s="0" t="n">
        <v>-0.062</v>
      </c>
      <c r="P18" s="0" t="n">
        <v>-0.661</v>
      </c>
      <c r="Q18" s="0" t="n">
        <v>0.014</v>
      </c>
      <c r="R18" s="0" t="n">
        <v>0.008</v>
      </c>
      <c r="S18" s="0" t="n">
        <v>0.035</v>
      </c>
      <c r="T18" s="0" t="n">
        <v>45.309</v>
      </c>
      <c r="U18" s="0" t="n">
        <v>45.135</v>
      </c>
      <c r="V18" s="0" t="n">
        <v>47.276</v>
      </c>
      <c r="W18" s="0" t="n">
        <v>0.986</v>
      </c>
      <c r="X18" s="0" t="n">
        <v>0.992</v>
      </c>
      <c r="Y18" s="0" t="n">
        <v>1.086</v>
      </c>
      <c r="Z18" s="0" t="n">
        <v>9.848</v>
      </c>
      <c r="AA18" s="0" t="n">
        <v>2.618</v>
      </c>
      <c r="AB18" s="0" t="n">
        <v>0.767025</v>
      </c>
      <c r="AC18" s="0" t="n">
        <v>0.0136257909747471</v>
      </c>
      <c r="AD18" s="0" t="n">
        <v>0.12264170052988</v>
      </c>
      <c r="AE18" s="0" t="n">
        <v>-0.00885</v>
      </c>
      <c r="AF18" s="0" t="n">
        <v>0.00837595330395293</v>
      </c>
      <c r="AG18" s="0" t="n">
        <v>0.0753894697679904</v>
      </c>
      <c r="AH18" s="0" t="n">
        <v>-0.06195</v>
      </c>
      <c r="AI18" s="0" t="n">
        <v>0.0346487594474896</v>
      </c>
      <c r="AJ18" s="0" t="n">
        <v>0.311863200291734</v>
      </c>
      <c r="AK18" s="0" t="n">
        <v>0.058991607278481</v>
      </c>
      <c r="AL18" s="0" t="n">
        <v>0.0103622794303798</v>
      </c>
      <c r="AM18" s="0" t="n">
        <v>0.651124787775891</v>
      </c>
    </row>
    <row r="19" customFormat="false" ht="13.8" hidden="false" customHeight="false" outlineLevel="0" collapsed="false">
      <c r="A19" s="1" t="n">
        <v>17</v>
      </c>
      <c r="B19" s="0" t="n">
        <v>17</v>
      </c>
      <c r="C19" s="0" t="n">
        <v>4585748.152</v>
      </c>
      <c r="D19" s="0" t="n">
        <v>5350912.96</v>
      </c>
      <c r="E19" s="0" t="n">
        <v>373.921</v>
      </c>
      <c r="F19" s="0" t="n">
        <v>0.546</v>
      </c>
      <c r="G19" s="0" t="n">
        <v>0.118</v>
      </c>
      <c r="H19" s="0" t="n">
        <v>80</v>
      </c>
      <c r="I19" s="0" t="n">
        <v>1</v>
      </c>
      <c r="J19" s="0" t="n">
        <v>2</v>
      </c>
      <c r="K19" s="0" t="n">
        <v>1</v>
      </c>
      <c r="L19" s="0" t="n">
        <v>0.216</v>
      </c>
      <c r="M19" s="0" t="n">
        <v>0.864</v>
      </c>
      <c r="N19" s="0" t="n">
        <v>0.164</v>
      </c>
      <c r="O19" s="0" t="n">
        <v>-0.744</v>
      </c>
      <c r="P19" s="0" t="n">
        <v>10.734</v>
      </c>
      <c r="Q19" s="0" t="n">
        <v>0.015</v>
      </c>
      <c r="R19" s="0" t="n">
        <v>0.005</v>
      </c>
      <c r="S19" s="0" t="n">
        <v>0.025</v>
      </c>
      <c r="T19" s="0" t="n">
        <v>46.607</v>
      </c>
      <c r="U19" s="0" t="n">
        <v>46.198</v>
      </c>
      <c r="V19" s="0" t="n">
        <v>48.209</v>
      </c>
      <c r="W19" s="0" t="n">
        <v>1.043</v>
      </c>
      <c r="X19" s="0" t="n">
        <v>1.012</v>
      </c>
      <c r="Y19" s="0" t="n">
        <v>0.997</v>
      </c>
      <c r="Z19" s="0" t="n">
        <v>9.826</v>
      </c>
      <c r="AA19" s="0" t="n">
        <v>1.881</v>
      </c>
      <c r="AB19" s="0" t="n">
        <v>0.8655125</v>
      </c>
      <c r="AC19" s="0" t="n">
        <v>0.0150003645138002</v>
      </c>
      <c r="AD19" s="0" t="n">
        <v>0.135013828991653</v>
      </c>
      <c r="AE19" s="0" t="n">
        <v>0.1625375</v>
      </c>
      <c r="AF19" s="0" t="n">
        <v>0.00531721683983971</v>
      </c>
      <c r="AG19" s="0" t="n">
        <v>0.0478586906648301</v>
      </c>
      <c r="AH19" s="0" t="n">
        <v>-0.7341875</v>
      </c>
      <c r="AI19" s="0" t="n">
        <v>0.0264163898800891</v>
      </c>
      <c r="AJ19" s="0" t="n">
        <v>0.237766085121863</v>
      </c>
      <c r="AK19" s="0" t="n">
        <v>0.0385259497626582</v>
      </c>
      <c r="AL19" s="0" t="n">
        <v>0.0102595941455696</v>
      </c>
      <c r="AM19" s="0" t="n">
        <v>0.734730475382003</v>
      </c>
    </row>
    <row r="20" customFormat="false" ht="13.8" hidden="false" customHeight="false" outlineLevel="0" collapsed="false">
      <c r="A20" s="1" t="n">
        <v>18</v>
      </c>
      <c r="B20" s="0" t="n">
        <v>18</v>
      </c>
      <c r="C20" s="0" t="n">
        <v>4585747.949</v>
      </c>
      <c r="D20" s="0" t="n">
        <v>5350910.58</v>
      </c>
      <c r="E20" s="0" t="n">
        <v>373.996</v>
      </c>
      <c r="F20" s="0" t="n">
        <v>0.476</v>
      </c>
      <c r="G20" s="0" t="n">
        <v>0.079</v>
      </c>
      <c r="H20" s="0" t="n">
        <v>80</v>
      </c>
      <c r="I20" s="0" t="n">
        <v>2</v>
      </c>
      <c r="J20" s="0" t="n">
        <v>2</v>
      </c>
      <c r="K20" s="0" t="n">
        <v>0.5</v>
      </c>
      <c r="L20" s="0" t="n">
        <v>0.166</v>
      </c>
      <c r="M20" s="0" t="n">
        <v>0.77</v>
      </c>
      <c r="N20" s="0" t="n">
        <v>0.157</v>
      </c>
      <c r="O20" s="0" t="n">
        <v>-0.662</v>
      </c>
      <c r="P20" s="0" t="n">
        <v>11.554</v>
      </c>
      <c r="Q20" s="0" t="n">
        <v>0.009</v>
      </c>
      <c r="R20" s="0" t="n">
        <v>0.004</v>
      </c>
      <c r="S20" s="0" t="n">
        <v>0.016</v>
      </c>
      <c r="T20" s="0" t="n">
        <v>45.372</v>
      </c>
      <c r="U20" s="0" t="n">
        <v>45.101</v>
      </c>
      <c r="V20" s="0" t="n">
        <v>47.241</v>
      </c>
      <c r="W20" s="0" t="n">
        <v>1.129</v>
      </c>
      <c r="X20" s="0" t="n">
        <v>1.224</v>
      </c>
      <c r="Y20" s="0" t="n">
        <v>1.174</v>
      </c>
      <c r="Z20" s="0" t="n">
        <v>9.834</v>
      </c>
      <c r="AA20" s="0" t="n">
        <v>1.212</v>
      </c>
      <c r="AB20" s="0" t="n">
        <v>0.7631875</v>
      </c>
      <c r="AC20" s="0" t="n">
        <v>0.00989115914829374</v>
      </c>
      <c r="AD20" s="0" t="n">
        <v>0.0890273878710324</v>
      </c>
      <c r="AE20" s="0" t="n">
        <v>0.156425</v>
      </c>
      <c r="AF20" s="0" t="n">
        <v>0.00348787072402347</v>
      </c>
      <c r="AG20" s="0" t="n">
        <v>0.0313932892127432</v>
      </c>
      <c r="AH20" s="0" t="n">
        <v>-0.659375</v>
      </c>
      <c r="AI20" s="0" t="n">
        <v>0.0152163191077047</v>
      </c>
      <c r="AJ20" s="0" t="n">
        <v>0.136957572197665</v>
      </c>
      <c r="AK20" s="0" t="n">
        <v>0.0138343954905063</v>
      </c>
      <c r="AL20" s="0" t="n">
        <v>0.00445570719936709</v>
      </c>
      <c r="AM20" s="0" t="n">
        <v>0.64786714770798</v>
      </c>
    </row>
    <row r="21" customFormat="false" ht="13.8" hidden="false" customHeight="false" outlineLevel="0" collapsed="false">
      <c r="A21" s="1" t="n">
        <v>19</v>
      </c>
      <c r="B21" s="0" t="n">
        <v>19</v>
      </c>
      <c r="C21" s="0" t="n">
        <v>4585747.753</v>
      </c>
      <c r="D21" s="0" t="n">
        <v>5350908.176</v>
      </c>
      <c r="E21" s="0" t="n">
        <v>374</v>
      </c>
      <c r="F21" s="0" t="n">
        <v>0.533</v>
      </c>
      <c r="G21" s="0" t="n">
        <v>0.096</v>
      </c>
      <c r="H21" s="0" t="n">
        <v>80</v>
      </c>
      <c r="I21" s="0" t="n">
        <v>0</v>
      </c>
      <c r="J21" s="0" t="n">
        <v>2</v>
      </c>
      <c r="K21" s="0" t="n">
        <v>0</v>
      </c>
      <c r="L21" s="0" t="n">
        <v>0.18</v>
      </c>
      <c r="M21" s="0" t="n">
        <v>0.722</v>
      </c>
      <c r="N21" s="0" t="n">
        <v>0.186</v>
      </c>
      <c r="O21" s="0" t="n">
        <v>-0.798</v>
      </c>
      <c r="P21" s="0" t="n">
        <v>14.488</v>
      </c>
      <c r="Q21" s="0" t="n">
        <v>0.008</v>
      </c>
      <c r="R21" s="0" t="n">
        <v>0.004</v>
      </c>
      <c r="S21" s="0" t="n">
        <v>0.016</v>
      </c>
      <c r="T21" s="0" t="n">
        <v>40.973</v>
      </c>
      <c r="U21" s="0" t="n">
        <v>40.835</v>
      </c>
      <c r="V21" s="0" t="n">
        <v>42.412</v>
      </c>
      <c r="W21" s="0" t="n">
        <v>0.806</v>
      </c>
      <c r="X21" s="0" t="n">
        <v>1.008</v>
      </c>
      <c r="Y21" s="0" t="n">
        <v>1.124</v>
      </c>
      <c r="Z21" s="0" t="n">
        <v>9.849</v>
      </c>
      <c r="AA21" s="0" t="n">
        <v>1.869</v>
      </c>
      <c r="AB21" s="0" t="n">
        <v>0.7216375</v>
      </c>
      <c r="AC21" s="0" t="n">
        <v>0.00778056962386913</v>
      </c>
      <c r="AD21" s="0" t="n">
        <v>0.0700305979690216</v>
      </c>
      <c r="AE21" s="0" t="n">
        <v>0.1865375</v>
      </c>
      <c r="AF21" s="0" t="n">
        <v>0.00365265073910373</v>
      </c>
      <c r="AG21" s="0" t="n">
        <v>0.0328764252229928</v>
      </c>
      <c r="AH21" s="0" t="n">
        <v>-0.7980375</v>
      </c>
      <c r="AI21" s="0" t="n">
        <v>0.0156149311933122</v>
      </c>
      <c r="AJ21" s="0" t="n">
        <v>0.140545361275103</v>
      </c>
      <c r="AK21" s="0" t="n">
        <v>0.0128690712816456</v>
      </c>
      <c r="AL21" s="0" t="n">
        <v>0.00299257199367089</v>
      </c>
      <c r="AM21" s="0" t="n">
        <v>0.612595500848896</v>
      </c>
    </row>
    <row r="22" customFormat="false" ht="13.8" hidden="false" customHeight="false" outlineLevel="0" collapsed="false">
      <c r="A22" s="1" t="n">
        <v>20</v>
      </c>
      <c r="B22" s="0" t="n">
        <v>20</v>
      </c>
      <c r="C22" s="0" t="n">
        <v>4585762.696</v>
      </c>
      <c r="D22" s="0" t="n">
        <v>5350910.462</v>
      </c>
      <c r="E22" s="0" t="n">
        <v>373.897</v>
      </c>
      <c r="F22" s="0" t="n">
        <v>0.597</v>
      </c>
      <c r="G22" s="0" t="n">
        <v>0.105</v>
      </c>
      <c r="H22" s="0" t="n">
        <v>80</v>
      </c>
      <c r="I22" s="0" t="n">
        <v>1</v>
      </c>
      <c r="J22" s="0" t="n">
        <v>5</v>
      </c>
      <c r="K22" s="0" t="n">
        <v>0.5</v>
      </c>
      <c r="L22" s="0" t="n">
        <v>0.176</v>
      </c>
      <c r="M22" s="0" t="n">
        <v>0.945</v>
      </c>
      <c r="N22" s="0" t="n">
        <v>0.021</v>
      </c>
      <c r="O22" s="0" t="n">
        <v>-0.124</v>
      </c>
      <c r="P22" s="0" t="n">
        <v>1.271</v>
      </c>
      <c r="Q22" s="0" t="n">
        <v>0.015</v>
      </c>
      <c r="R22" s="0" t="n">
        <v>0.005</v>
      </c>
      <c r="S22" s="0" t="n">
        <v>0.019</v>
      </c>
      <c r="T22" s="0" t="n">
        <v>45.682</v>
      </c>
      <c r="U22" s="0" t="n">
        <v>45.286</v>
      </c>
      <c r="V22" s="0" t="n">
        <v>47.287</v>
      </c>
      <c r="W22" s="0" t="n">
        <v>0.815</v>
      </c>
      <c r="X22" s="0" t="n">
        <v>1</v>
      </c>
      <c r="Y22" s="0" t="n">
        <v>0.839</v>
      </c>
      <c r="Z22" s="0" t="n">
        <v>9.82</v>
      </c>
      <c r="AA22" s="0" t="n">
        <v>2.394</v>
      </c>
      <c r="AB22" s="0" t="n">
        <v>0.9428625</v>
      </c>
      <c r="AC22" s="0" t="n">
        <v>0.014614330977567</v>
      </c>
      <c r="AD22" s="0" t="n">
        <v>0.131539255703912</v>
      </c>
      <c r="AE22" s="0" t="n">
        <v>0.0190875</v>
      </c>
      <c r="AF22" s="0" t="n">
        <v>0.00530848947883247</v>
      </c>
      <c r="AG22" s="0" t="n">
        <v>0.04778013827862</v>
      </c>
      <c r="AH22" s="0" t="n">
        <v>-0.1161875</v>
      </c>
      <c r="AI22" s="0" t="n">
        <v>0.0203565337618386</v>
      </c>
      <c r="AJ22" s="0" t="n">
        <v>0.183223118721894</v>
      </c>
      <c r="AK22" s="0" t="n">
        <v>0.0265781143196202</v>
      </c>
      <c r="AL22" s="0" t="n">
        <v>0.00979275870253165</v>
      </c>
      <c r="AM22" s="0" t="n">
        <v>0.800392614601019</v>
      </c>
    </row>
    <row r="23" customFormat="false" ht="13.8" hidden="false" customHeight="false" outlineLevel="0" collapsed="false">
      <c r="A23" s="1" t="n">
        <v>21</v>
      </c>
      <c r="B23" s="0" t="n">
        <v>21</v>
      </c>
      <c r="C23" s="0" t="n">
        <v>4585762.756</v>
      </c>
      <c r="D23" s="0" t="n">
        <v>5350912.729</v>
      </c>
      <c r="E23" s="0" t="n">
        <v>373.731</v>
      </c>
      <c r="F23" s="0" t="n">
        <v>0.515</v>
      </c>
      <c r="G23" s="0" t="n">
        <v>0.177</v>
      </c>
      <c r="H23" s="0" t="n">
        <v>80</v>
      </c>
      <c r="I23" s="0" t="n">
        <v>1</v>
      </c>
      <c r="J23" s="0" t="n">
        <v>5</v>
      </c>
      <c r="K23" s="0" t="n">
        <v>1</v>
      </c>
      <c r="L23" s="0" t="n">
        <v>0.344</v>
      </c>
      <c r="M23" s="0" t="n">
        <v>1.254</v>
      </c>
      <c r="N23" s="0" t="n">
        <v>0.236</v>
      </c>
      <c r="O23" s="0" t="n">
        <v>-1.021</v>
      </c>
      <c r="P23" s="0" t="n">
        <v>10.664</v>
      </c>
      <c r="Q23" s="0" t="n">
        <v>0.017</v>
      </c>
      <c r="R23" s="0" t="n">
        <v>0.005</v>
      </c>
      <c r="S23" s="0" t="n">
        <v>0.022</v>
      </c>
      <c r="T23" s="0" t="n">
        <v>45.369</v>
      </c>
      <c r="U23" s="0" t="n">
        <v>44.745</v>
      </c>
      <c r="V23" s="0" t="n">
        <v>47.247</v>
      </c>
      <c r="W23" s="0" t="n">
        <v>1.08</v>
      </c>
      <c r="X23" s="0" t="n">
        <v>0.977</v>
      </c>
      <c r="Y23" s="0" t="n">
        <v>1.093</v>
      </c>
      <c r="Z23" s="0" t="n">
        <v>9.81</v>
      </c>
      <c r="AA23" s="0" t="n">
        <v>1.526</v>
      </c>
      <c r="AB23" s="0" t="n">
        <v>1.2561625</v>
      </c>
      <c r="AC23" s="0" t="n">
        <v>0.0170872891697857</v>
      </c>
      <c r="AD23" s="0" t="n">
        <v>0.153797618436401</v>
      </c>
      <c r="AE23" s="0" t="n">
        <v>0.2366375</v>
      </c>
      <c r="AF23" s="0" t="n">
        <v>0.00475658240461311</v>
      </c>
      <c r="AG23" s="0" t="n">
        <v>0.0428125865055026</v>
      </c>
      <c r="AH23" s="0" t="n">
        <v>-1.012775</v>
      </c>
      <c r="AI23" s="0" t="n">
        <v>0.0233057059469886</v>
      </c>
      <c r="AJ23" s="0" t="n">
        <v>0.209767742267972</v>
      </c>
      <c r="AK23" s="0" t="n">
        <v>0.0347445653481013</v>
      </c>
      <c r="AL23" s="0" t="n">
        <v>0.0127433125</v>
      </c>
      <c r="AM23" s="0" t="n">
        <v>1.06635186757216</v>
      </c>
    </row>
    <row r="25" customFormat="false" ht="13.8" hidden="false" customHeight="false" outlineLevel="0" collapsed="false">
      <c r="F25" s="0" t="s">
        <v>38</v>
      </c>
      <c r="G25" s="3" t="n">
        <f aca="false">MAX(G2:G23)</f>
        <v>0.39</v>
      </c>
    </row>
    <row r="26" customFormat="false" ht="13.8" hidden="false" customHeight="false" outlineLevel="0" collapsed="false">
      <c r="F26" s="0" t="s">
        <v>39</v>
      </c>
      <c r="G26" s="0" t="n">
        <f aca="false">AVERAGE(G2:G23)</f>
        <v>0.2165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2022-11-07T10:43:52Z</dcterms:created>
  <dc:creator>openpyxl</dc:creator>
  <dc:description/>
  <dc:language>en-US</dc:language>
  <cp:lastModifiedBy/>
  <dcterms:modified xsi:type="dcterms:W3CDTF">2022-11-07T11:56:15Z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